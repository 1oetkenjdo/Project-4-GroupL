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cbf3353e9af97e5/Desktop/SP2026/CODES/PROJECT 4/FINAL CODE AND DOCUMENTS/SUBMISSIONS/Non-Code/"/>
    </mc:Choice>
  </mc:AlternateContent>
  <xr:revisionPtr revIDLastSave="0" documentId="8_{064B73A8-B32D-4CF9-840B-F1E2BC287A4D}" xr6:coauthVersionLast="47" xr6:coauthVersionMax="47" xr10:uidLastSave="{00000000-0000-0000-0000-000000000000}"/>
  <bookViews>
    <workbookView xWindow="19095" yWindow="0" windowWidth="19410" windowHeight="15585" xr2:uid="{E3953048-9D02-4066-920D-6C5DFDD2E8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9" i="1" l="1"/>
  <c r="I5" i="1"/>
  <c r="I6" i="1"/>
  <c r="I4" i="1"/>
  <c r="J5" i="1"/>
  <c r="J6" i="1"/>
  <c r="J4" i="1"/>
  <c r="F29" i="1"/>
  <c r="F28" i="1"/>
  <c r="F27" i="1"/>
  <c r="F20" i="1"/>
  <c r="F8" i="1"/>
  <c r="F7" i="1"/>
  <c r="F6" i="1"/>
  <c r="F9" i="1"/>
  <c r="F10" i="1"/>
  <c r="F11" i="1"/>
  <c r="F12" i="1"/>
  <c r="F13" i="1"/>
  <c r="F14" i="1"/>
  <c r="F15" i="1"/>
  <c r="F16" i="1"/>
  <c r="F17" i="1"/>
  <c r="F18" i="1"/>
  <c r="F19" i="1"/>
  <c r="F21" i="1"/>
  <c r="F22" i="1"/>
  <c r="F23" i="1"/>
  <c r="F24" i="1"/>
  <c r="F25" i="1"/>
  <c r="F26" i="1"/>
  <c r="F4" i="1"/>
  <c r="F5" i="1"/>
  <c r="F3" i="1"/>
</calcChain>
</file>

<file path=xl/sharedStrings.xml><?xml version="1.0" encoding="utf-8"?>
<sst xmlns="http://schemas.openxmlformats.org/spreadsheetml/2006/main" count="66" uniqueCount="29">
  <si>
    <t>Task</t>
  </si>
  <si>
    <t>Date</t>
  </si>
  <si>
    <t>Person</t>
  </si>
  <si>
    <t>Hours</t>
  </si>
  <si>
    <t>Hourly Rate</t>
  </si>
  <si>
    <t>Total</t>
  </si>
  <si>
    <t>Scope of Work</t>
  </si>
  <si>
    <t>SOW Review</t>
  </si>
  <si>
    <t>Anicet</t>
  </si>
  <si>
    <t>Jacob</t>
  </si>
  <si>
    <t>David</t>
  </si>
  <si>
    <t>Gantt Chart Creation</t>
  </si>
  <si>
    <t>Gantt Chart Formatting</t>
  </si>
  <si>
    <t>Review and Polish Gantt Chart</t>
  </si>
  <si>
    <t>Lab 1 - Coding</t>
  </si>
  <si>
    <t>Lab 2 - Coding</t>
  </si>
  <si>
    <t>Lab 3 - Coding</t>
  </si>
  <si>
    <t>Write and combine code</t>
  </si>
  <si>
    <t>Review and polish code</t>
  </si>
  <si>
    <t>Begin analysis of code</t>
  </si>
  <si>
    <t>Write introduction, and definitions for report</t>
  </si>
  <si>
    <t>Write Results, conclusion</t>
  </si>
  <si>
    <t>Write SOW and Methods</t>
  </si>
  <si>
    <t>Compile documents into GitHub</t>
  </si>
  <si>
    <t>Compile Annotated Cad Document</t>
  </si>
  <si>
    <t>Create README</t>
  </si>
  <si>
    <t>Compensation</t>
  </si>
  <si>
    <t>Review documents</t>
  </si>
  <si>
    <t>Total 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</si>
</sst>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7">
    <xf numFmtId="0" fontId="0" fillId="0" borderId="0" xfId="0"/>
    <xf numFmtId="44" fontId="0" fillId="0" borderId="0" xfId="1" applyFon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2" borderId="1" xfId="0" applyFill="1" applyBorder="1"/>
    <xf numFmtId="165" fontId="0" fillId="2" borderId="1" xfId="0" applyNumberFormat="1" applyFill="1" applyBorder="1"/>
    <xf numFmtId="44" fontId="0" fillId="2" borderId="1" xfId="1" applyFont="1" applyFill="1" applyBorder="1"/>
    <xf numFmtId="0" fontId="0" fillId="0" borderId="1" xfId="0" applyBorder="1"/>
    <xf numFmtId="165" fontId="0" fillId="0" borderId="1" xfId="0" applyNumberFormat="1" applyBorder="1"/>
    <xf numFmtId="44" fontId="0" fillId="0" borderId="1" xfId="1" applyFont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44" fontId="0" fillId="0" borderId="1" xfId="1" applyFont="1" applyBorder="1" applyAlignment="1">
      <alignment vertical="center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14" fontId="0" fillId="2" borderId="5" xfId="0" applyNumberFormat="1" applyFill="1" applyBorder="1"/>
    <xf numFmtId="44" fontId="0" fillId="2" borderId="6" xfId="1" applyFont="1" applyFill="1" applyBorder="1"/>
    <xf numFmtId="14" fontId="0" fillId="0" borderId="5" xfId="0" applyNumberFormat="1" applyBorder="1"/>
    <xf numFmtId="44" fontId="0" fillId="0" borderId="6" xfId="1" applyFont="1" applyBorder="1"/>
    <xf numFmtId="14" fontId="0" fillId="0" borderId="5" xfId="0" applyNumberFormat="1" applyBorder="1" applyAlignment="1">
      <alignment vertical="center"/>
    </xf>
    <xf numFmtId="44" fontId="0" fillId="0" borderId="6" xfId="1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14" fontId="0" fillId="2" borderId="2" xfId="0" applyNumberFormat="1" applyFill="1" applyBorder="1"/>
    <xf numFmtId="0" fontId="0" fillId="2" borderId="3" xfId="0" applyFill="1" applyBorder="1"/>
    <xf numFmtId="165" fontId="0" fillId="2" borderId="3" xfId="0" applyNumberFormat="1" applyFill="1" applyBorder="1"/>
    <xf numFmtId="44" fontId="0" fillId="2" borderId="3" xfId="1" applyFont="1" applyFill="1" applyBorder="1"/>
    <xf numFmtId="44" fontId="0" fillId="2" borderId="4" xfId="1" applyFont="1" applyFill="1" applyBorder="1"/>
    <xf numFmtId="14" fontId="0" fillId="2" borderId="7" xfId="0" applyNumberFormat="1" applyFill="1" applyBorder="1"/>
    <xf numFmtId="0" fontId="0" fillId="2" borderId="8" xfId="0" applyFill="1" applyBorder="1"/>
    <xf numFmtId="165" fontId="0" fillId="2" borderId="8" xfId="0" applyNumberFormat="1" applyFill="1" applyBorder="1"/>
    <xf numFmtId="44" fontId="0" fillId="2" borderId="8" xfId="1" applyFont="1" applyFill="1" applyBorder="1"/>
    <xf numFmtId="44" fontId="0" fillId="2" borderId="9" xfId="1" applyFont="1" applyFill="1" applyBorder="1"/>
    <xf numFmtId="0" fontId="0" fillId="0" borderId="0" xfId="0" applyFont="1"/>
    <xf numFmtId="0" fontId="0" fillId="0" borderId="11" xfId="0" applyBorder="1"/>
    <xf numFmtId="0" fontId="2" fillId="0" borderId="12" xfId="0" applyFont="1" applyBorder="1"/>
    <xf numFmtId="44" fontId="0" fillId="0" borderId="13" xfId="1" applyFont="1" applyBorder="1"/>
    <xf numFmtId="0" fontId="0" fillId="0" borderId="14" xfId="0" applyBorder="1"/>
    <xf numFmtId="0" fontId="2" fillId="0" borderId="15" xfId="0" applyFont="1" applyBorder="1"/>
    <xf numFmtId="0" fontId="2" fillId="0" borderId="16" xfId="0" applyFont="1" applyBorder="1"/>
    <xf numFmtId="0" fontId="2" fillId="2" borderId="12" xfId="0" applyFont="1" applyFill="1" applyBorder="1"/>
    <xf numFmtId="0" fontId="0" fillId="2" borderId="11" xfId="0" applyFill="1" applyBorder="1"/>
    <xf numFmtId="44" fontId="0" fillId="2" borderId="13" xfId="1" applyFont="1" applyFill="1" applyBorder="1"/>
    <xf numFmtId="0" fontId="2" fillId="0" borderId="14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44" fontId="0" fillId="0" borderId="12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EF0B7-4A93-4BA8-A50C-F7B1903DC73F}">
  <dimension ref="A1:J33"/>
  <sheetViews>
    <sheetView showGridLines="0" tabSelected="1" workbookViewId="0">
      <selection activeCell="M13" sqref="M13"/>
    </sheetView>
  </sheetViews>
  <sheetFormatPr defaultRowHeight="15" x14ac:dyDescent="0.25"/>
  <cols>
    <col min="1" max="1" width="11.140625" customWidth="1"/>
    <col min="2" max="2" width="31.140625" customWidth="1"/>
    <col min="3" max="3" width="12.7109375" bestFit="1" customWidth="1"/>
    <col min="4" max="4" width="6.28515625" bestFit="1" customWidth="1"/>
    <col min="5" max="5" width="11" bestFit="1" customWidth="1"/>
    <col min="6" max="6" width="9" bestFit="1" customWidth="1"/>
    <col min="10" max="10" width="14" bestFit="1" customWidth="1"/>
  </cols>
  <sheetData>
    <row r="1" spans="1:10" ht="15.75" thickBot="1" x14ac:dyDescent="0.3"/>
    <row r="2" spans="1:10" ht="15.75" thickBot="1" x14ac:dyDescent="0.3">
      <c r="A2" s="22" t="s">
        <v>1</v>
      </c>
      <c r="B2" s="22" t="s">
        <v>0</v>
      </c>
      <c r="C2" s="22" t="s">
        <v>2</v>
      </c>
      <c r="D2" s="22" t="s">
        <v>3</v>
      </c>
      <c r="E2" s="22" t="s">
        <v>4</v>
      </c>
      <c r="F2" s="22" t="s">
        <v>5</v>
      </c>
    </row>
    <row r="3" spans="1:10" ht="15.75" thickBot="1" x14ac:dyDescent="0.3">
      <c r="A3" s="23">
        <v>46114</v>
      </c>
      <c r="B3" s="24" t="s">
        <v>6</v>
      </c>
      <c r="C3" s="24" t="s">
        <v>9</v>
      </c>
      <c r="D3" s="25">
        <v>4</v>
      </c>
      <c r="E3" s="26">
        <v>24</v>
      </c>
      <c r="F3" s="27">
        <f>D3*E3</f>
        <v>96</v>
      </c>
      <c r="H3" s="37"/>
      <c r="I3" s="38" t="s">
        <v>3</v>
      </c>
      <c r="J3" s="39" t="s">
        <v>26</v>
      </c>
    </row>
    <row r="4" spans="1:10" ht="15.75" thickBot="1" x14ac:dyDescent="0.3">
      <c r="A4" s="18">
        <v>46114</v>
      </c>
      <c r="B4" s="7" t="s">
        <v>7</v>
      </c>
      <c r="C4" s="7" t="s">
        <v>8</v>
      </c>
      <c r="D4" s="8">
        <v>0.5</v>
      </c>
      <c r="E4" s="9">
        <v>23</v>
      </c>
      <c r="F4" s="19">
        <f t="shared" ref="F4:F29" si="0">D4*E4</f>
        <v>11.5</v>
      </c>
      <c r="H4" s="40" t="s">
        <v>9</v>
      </c>
      <c r="I4" s="41">
        <f>SUMIF($C$3:$C$29,H4,$D$3:$D$29)</f>
        <v>28</v>
      </c>
      <c r="J4" s="42">
        <f>SUMIF($C$3:$C$29,H4,$F$3:$F$29)</f>
        <v>672</v>
      </c>
    </row>
    <row r="5" spans="1:10" ht="15.75" thickBot="1" x14ac:dyDescent="0.3">
      <c r="A5" s="16">
        <v>46114</v>
      </c>
      <c r="B5" s="4" t="s">
        <v>7</v>
      </c>
      <c r="C5" s="4" t="s">
        <v>10</v>
      </c>
      <c r="D5" s="5">
        <v>0.5</v>
      </c>
      <c r="E5" s="6">
        <v>23.5</v>
      </c>
      <c r="F5" s="17">
        <f t="shared" si="0"/>
        <v>11.75</v>
      </c>
      <c r="H5" s="35" t="s">
        <v>8</v>
      </c>
      <c r="I5" s="34">
        <f t="shared" ref="I5:I7" si="1">SUMIF($C$3:$C$29,H5,$D$3:$D$29)</f>
        <v>13.5</v>
      </c>
      <c r="J5" s="36">
        <f t="shared" ref="J5:J6" si="2">SUMIF($C$3:$C$29,H5,$F$3:$F$29)</f>
        <v>310.5</v>
      </c>
    </row>
    <row r="6" spans="1:10" ht="15.75" thickBot="1" x14ac:dyDescent="0.3">
      <c r="A6" s="18">
        <v>46115</v>
      </c>
      <c r="B6" s="7" t="s">
        <v>14</v>
      </c>
      <c r="C6" s="7" t="s">
        <v>9</v>
      </c>
      <c r="D6" s="8">
        <v>3</v>
      </c>
      <c r="E6" s="9">
        <v>24</v>
      </c>
      <c r="F6" s="19">
        <f t="shared" ref="F6:F8" si="3">D6*E6</f>
        <v>72</v>
      </c>
      <c r="H6" s="40" t="s">
        <v>10</v>
      </c>
      <c r="I6" s="41">
        <f t="shared" si="1"/>
        <v>23</v>
      </c>
      <c r="J6" s="42">
        <f t="shared" si="2"/>
        <v>541.5</v>
      </c>
    </row>
    <row r="7" spans="1:10" ht="15.75" thickBot="1" x14ac:dyDescent="0.3">
      <c r="A7" s="16">
        <v>46115</v>
      </c>
      <c r="B7" s="4" t="s">
        <v>14</v>
      </c>
      <c r="C7" s="4" t="s">
        <v>8</v>
      </c>
      <c r="D7" s="5">
        <v>3</v>
      </c>
      <c r="E7" s="6">
        <v>23</v>
      </c>
      <c r="F7" s="17">
        <f t="shared" si="3"/>
        <v>69</v>
      </c>
      <c r="H7" s="33"/>
    </row>
    <row r="8" spans="1:10" ht="15.75" thickBot="1" x14ac:dyDescent="0.3">
      <c r="A8" s="18">
        <v>46115</v>
      </c>
      <c r="B8" s="7" t="s">
        <v>14</v>
      </c>
      <c r="C8" s="7" t="s">
        <v>10</v>
      </c>
      <c r="D8" s="8">
        <v>3</v>
      </c>
      <c r="E8" s="9">
        <v>23.5</v>
      </c>
      <c r="F8" s="19">
        <f t="shared" si="3"/>
        <v>70.5</v>
      </c>
      <c r="I8" s="43" t="s">
        <v>28</v>
      </c>
      <c r="J8" s="44"/>
    </row>
    <row r="9" spans="1:10" ht="15.75" thickBot="1" x14ac:dyDescent="0.3">
      <c r="A9" s="16">
        <v>46121</v>
      </c>
      <c r="B9" s="4" t="s">
        <v>11</v>
      </c>
      <c r="C9" s="4" t="s">
        <v>8</v>
      </c>
      <c r="D9" s="5">
        <v>2</v>
      </c>
      <c r="E9" s="6">
        <v>23</v>
      </c>
      <c r="F9" s="17">
        <f t="shared" si="0"/>
        <v>46</v>
      </c>
      <c r="I9" s="45">
        <f>SUM(J4:J6)</f>
        <v>1524</v>
      </c>
      <c r="J9" s="46"/>
    </row>
    <row r="10" spans="1:10" x14ac:dyDescent="0.25">
      <c r="A10" s="18">
        <v>46121</v>
      </c>
      <c r="B10" s="7" t="s">
        <v>12</v>
      </c>
      <c r="C10" s="7" t="s">
        <v>9</v>
      </c>
      <c r="D10" s="8">
        <v>1</v>
      </c>
      <c r="E10" s="9">
        <v>24</v>
      </c>
      <c r="F10" s="19">
        <f t="shared" si="0"/>
        <v>24</v>
      </c>
    </row>
    <row r="11" spans="1:10" x14ac:dyDescent="0.25">
      <c r="A11" s="16">
        <v>46122</v>
      </c>
      <c r="B11" s="4" t="s">
        <v>13</v>
      </c>
      <c r="C11" s="4" t="s">
        <v>10</v>
      </c>
      <c r="D11" s="5">
        <v>0.5</v>
      </c>
      <c r="E11" s="6">
        <v>23.5</v>
      </c>
      <c r="F11" s="17">
        <f t="shared" si="0"/>
        <v>11.75</v>
      </c>
    </row>
    <row r="12" spans="1:10" x14ac:dyDescent="0.25">
      <c r="A12" s="18">
        <v>46122</v>
      </c>
      <c r="B12" s="7" t="s">
        <v>15</v>
      </c>
      <c r="C12" s="7" t="s">
        <v>9</v>
      </c>
      <c r="D12" s="8">
        <v>3</v>
      </c>
      <c r="E12" s="9">
        <v>24</v>
      </c>
      <c r="F12" s="19">
        <f t="shared" si="0"/>
        <v>72</v>
      </c>
    </row>
    <row r="13" spans="1:10" x14ac:dyDescent="0.25">
      <c r="A13" s="16">
        <v>46122</v>
      </c>
      <c r="B13" s="4" t="s">
        <v>15</v>
      </c>
      <c r="C13" s="4" t="s">
        <v>8</v>
      </c>
      <c r="D13" s="5">
        <v>3</v>
      </c>
      <c r="E13" s="6">
        <v>23</v>
      </c>
      <c r="F13" s="17">
        <f t="shared" si="0"/>
        <v>69</v>
      </c>
    </row>
    <row r="14" spans="1:10" x14ac:dyDescent="0.25">
      <c r="A14" s="18">
        <v>46122</v>
      </c>
      <c r="B14" s="7" t="s">
        <v>15</v>
      </c>
      <c r="C14" s="7" t="s">
        <v>10</v>
      </c>
      <c r="D14" s="8">
        <v>3</v>
      </c>
      <c r="E14" s="9">
        <v>23.5</v>
      </c>
      <c r="F14" s="19">
        <f t="shared" si="0"/>
        <v>70.5</v>
      </c>
    </row>
    <row r="15" spans="1:10" x14ac:dyDescent="0.25">
      <c r="A15" s="16">
        <v>46129</v>
      </c>
      <c r="B15" s="4" t="s">
        <v>16</v>
      </c>
      <c r="C15" s="4" t="s">
        <v>9</v>
      </c>
      <c r="D15" s="5">
        <v>3</v>
      </c>
      <c r="E15" s="6">
        <v>24</v>
      </c>
      <c r="F15" s="17">
        <f t="shared" si="0"/>
        <v>72</v>
      </c>
    </row>
    <row r="16" spans="1:10" x14ac:dyDescent="0.25">
      <c r="A16" s="18">
        <v>46129</v>
      </c>
      <c r="B16" s="7" t="s">
        <v>16</v>
      </c>
      <c r="C16" s="7" t="s">
        <v>8</v>
      </c>
      <c r="D16" s="8">
        <v>3</v>
      </c>
      <c r="E16" s="9">
        <v>23</v>
      </c>
      <c r="F16" s="19">
        <f t="shared" si="0"/>
        <v>69</v>
      </c>
    </row>
    <row r="17" spans="1:6" x14ac:dyDescent="0.25">
      <c r="A17" s="16">
        <v>46129</v>
      </c>
      <c r="B17" s="4" t="s">
        <v>16</v>
      </c>
      <c r="C17" s="4" t="s">
        <v>10</v>
      </c>
      <c r="D17" s="5">
        <v>3</v>
      </c>
      <c r="E17" s="6">
        <v>23.5</v>
      </c>
      <c r="F17" s="17">
        <f t="shared" si="0"/>
        <v>70.5</v>
      </c>
    </row>
    <row r="18" spans="1:6" x14ac:dyDescent="0.25">
      <c r="A18" s="18">
        <v>46130</v>
      </c>
      <c r="B18" s="7" t="s">
        <v>17</v>
      </c>
      <c r="C18" s="7" t="s">
        <v>9</v>
      </c>
      <c r="D18" s="8">
        <v>5</v>
      </c>
      <c r="E18" s="9">
        <v>24</v>
      </c>
      <c r="F18" s="19">
        <f t="shared" si="0"/>
        <v>120</v>
      </c>
    </row>
    <row r="19" spans="1:6" x14ac:dyDescent="0.25">
      <c r="A19" s="16">
        <v>46130</v>
      </c>
      <c r="B19" s="4" t="s">
        <v>18</v>
      </c>
      <c r="C19" s="4" t="s">
        <v>10</v>
      </c>
      <c r="D19" s="5">
        <v>2</v>
      </c>
      <c r="E19" s="6">
        <v>24</v>
      </c>
      <c r="F19" s="17">
        <f t="shared" si="0"/>
        <v>48</v>
      </c>
    </row>
    <row r="20" spans="1:6" x14ac:dyDescent="0.25">
      <c r="A20" s="18">
        <v>46130</v>
      </c>
      <c r="B20" s="7" t="s">
        <v>24</v>
      </c>
      <c r="C20" s="7" t="s">
        <v>9</v>
      </c>
      <c r="D20" s="8">
        <v>3</v>
      </c>
      <c r="E20" s="9">
        <v>24</v>
      </c>
      <c r="F20" s="19">
        <f t="shared" si="0"/>
        <v>72</v>
      </c>
    </row>
    <row r="21" spans="1:6" x14ac:dyDescent="0.25">
      <c r="A21" s="16">
        <v>46130</v>
      </c>
      <c r="B21" s="4" t="s">
        <v>19</v>
      </c>
      <c r="C21" s="4" t="s">
        <v>10</v>
      </c>
      <c r="D21" s="5">
        <v>4</v>
      </c>
      <c r="E21" s="6">
        <v>23.5</v>
      </c>
      <c r="F21" s="17">
        <f t="shared" si="0"/>
        <v>94</v>
      </c>
    </row>
    <row r="22" spans="1:6" s="3" customFormat="1" ht="30" x14ac:dyDescent="0.25">
      <c r="A22" s="20">
        <v>46130</v>
      </c>
      <c r="B22" s="10" t="s">
        <v>20</v>
      </c>
      <c r="C22" s="11" t="s">
        <v>8</v>
      </c>
      <c r="D22" s="12">
        <v>1</v>
      </c>
      <c r="E22" s="13">
        <v>23</v>
      </c>
      <c r="F22" s="21">
        <f t="shared" si="0"/>
        <v>23</v>
      </c>
    </row>
    <row r="23" spans="1:6" x14ac:dyDescent="0.25">
      <c r="A23" s="16">
        <v>46131</v>
      </c>
      <c r="B23" s="14" t="s">
        <v>21</v>
      </c>
      <c r="C23" s="4" t="s">
        <v>10</v>
      </c>
      <c r="D23" s="5">
        <v>5</v>
      </c>
      <c r="E23" s="6">
        <v>23.5</v>
      </c>
      <c r="F23" s="17">
        <f t="shared" si="0"/>
        <v>117.5</v>
      </c>
    </row>
    <row r="24" spans="1:6" x14ac:dyDescent="0.25">
      <c r="A24" s="18">
        <v>46131</v>
      </c>
      <c r="B24" s="15" t="s">
        <v>22</v>
      </c>
      <c r="C24" s="7" t="s">
        <v>9</v>
      </c>
      <c r="D24" s="8">
        <v>3</v>
      </c>
      <c r="E24" s="9">
        <v>24</v>
      </c>
      <c r="F24" s="19">
        <f t="shared" si="0"/>
        <v>72</v>
      </c>
    </row>
    <row r="25" spans="1:6" x14ac:dyDescent="0.25">
      <c r="A25" s="16">
        <v>46132</v>
      </c>
      <c r="B25" s="4" t="s">
        <v>23</v>
      </c>
      <c r="C25" s="4" t="s">
        <v>10</v>
      </c>
      <c r="D25" s="5">
        <v>1</v>
      </c>
      <c r="E25" s="6">
        <v>23.5</v>
      </c>
      <c r="F25" s="17">
        <f t="shared" si="0"/>
        <v>23.5</v>
      </c>
    </row>
    <row r="26" spans="1:6" x14ac:dyDescent="0.25">
      <c r="A26" s="18">
        <v>46132</v>
      </c>
      <c r="B26" s="15" t="s">
        <v>25</v>
      </c>
      <c r="C26" s="7" t="s">
        <v>9</v>
      </c>
      <c r="D26" s="8">
        <v>2</v>
      </c>
      <c r="E26" s="9">
        <v>24</v>
      </c>
      <c r="F26" s="19">
        <f t="shared" si="0"/>
        <v>48</v>
      </c>
    </row>
    <row r="27" spans="1:6" x14ac:dyDescent="0.25">
      <c r="A27" s="16">
        <v>43942</v>
      </c>
      <c r="B27" s="14" t="s">
        <v>27</v>
      </c>
      <c r="C27" s="4" t="s">
        <v>9</v>
      </c>
      <c r="D27" s="5">
        <v>1</v>
      </c>
      <c r="E27" s="6">
        <v>24</v>
      </c>
      <c r="F27" s="17">
        <f>D27*E27</f>
        <v>24</v>
      </c>
    </row>
    <row r="28" spans="1:6" x14ac:dyDescent="0.25">
      <c r="A28" s="18">
        <v>46132</v>
      </c>
      <c r="B28" s="15" t="s">
        <v>27</v>
      </c>
      <c r="C28" s="7" t="s">
        <v>10</v>
      </c>
      <c r="D28" s="8">
        <v>1</v>
      </c>
      <c r="E28" s="9">
        <v>23.5</v>
      </c>
      <c r="F28" s="19">
        <f>D28*E28</f>
        <v>23.5</v>
      </c>
    </row>
    <row r="29" spans="1:6" ht="15.75" thickBot="1" x14ac:dyDescent="0.3">
      <c r="A29" s="28">
        <v>46132</v>
      </c>
      <c r="B29" s="29" t="s">
        <v>27</v>
      </c>
      <c r="C29" s="29" t="s">
        <v>8</v>
      </c>
      <c r="D29" s="30">
        <v>1</v>
      </c>
      <c r="E29" s="31">
        <v>23</v>
      </c>
      <c r="F29" s="32">
        <f>D29*E29</f>
        <v>23</v>
      </c>
    </row>
    <row r="30" spans="1:6" x14ac:dyDescent="0.25">
      <c r="B30" s="2"/>
      <c r="E30" s="1"/>
      <c r="F30" s="1"/>
    </row>
    <row r="31" spans="1:6" x14ac:dyDescent="0.25">
      <c r="B31" s="2"/>
      <c r="E31" s="1"/>
      <c r="F31" s="1"/>
    </row>
    <row r="32" spans="1:6" x14ac:dyDescent="0.25">
      <c r="B32" s="2"/>
      <c r="E32" s="1"/>
      <c r="F32" s="1"/>
    </row>
    <row r="33" spans="5:6" x14ac:dyDescent="0.25">
      <c r="E33" s="1"/>
      <c r="F33" s="1"/>
    </row>
  </sheetData>
  <mergeCells count="2">
    <mergeCell ref="I8:J8"/>
    <mergeCell ref="I9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Oetken</dc:creator>
  <cp:lastModifiedBy>Jacob Oetken</cp:lastModifiedBy>
  <dcterms:created xsi:type="dcterms:W3CDTF">2026-04-21T02:08:49Z</dcterms:created>
  <dcterms:modified xsi:type="dcterms:W3CDTF">2026-04-21T02:28:40Z</dcterms:modified>
</cp:coreProperties>
</file>