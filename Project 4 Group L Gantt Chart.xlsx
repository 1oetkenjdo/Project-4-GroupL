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7cbf3353e9af97e5/Desktop/SP2026/CODES/PROJECT 4/FINAL CODE AND DOCUMENTS/SUBMISSIONS/Non-Code/"/>
    </mc:Choice>
  </mc:AlternateContent>
  <xr:revisionPtr revIDLastSave="31" documentId="8_{2737DE72-F959-4A9C-94DD-57F6D49EDD42}" xr6:coauthVersionLast="47" xr6:coauthVersionMax="47" xr10:uidLastSave="{D0E8BC45-5CAA-4187-A315-FD861A08406A}"/>
  <bookViews>
    <workbookView xWindow="-120" yWindow="-120" windowWidth="38640" windowHeight="1572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1" l="1"/>
  <c r="F33" i="11"/>
  <c r="F9" i="11"/>
  <c r="F27" i="11"/>
  <c r="E28" i="11" s="1"/>
  <c r="F28" i="11" s="1"/>
  <c r="E29" i="11" s="1"/>
  <c r="F29" i="11" s="1"/>
  <c r="E30" i="11" s="1"/>
  <c r="F30" i="11" s="1"/>
  <c r="E41" i="11"/>
  <c r="F41" i="11"/>
  <c r="E42" i="11"/>
  <c r="F42" i="11"/>
  <c r="E43" i="11"/>
  <c r="F43" i="11"/>
  <c r="F39" i="11"/>
  <c r="H54" i="11"/>
  <c r="H38" i="11"/>
  <c r="H7" i="11"/>
  <c r="I6" i="11" l="1"/>
  <c r="J5" i="11"/>
  <c r="I4" i="11"/>
  <c r="E55" i="11"/>
  <c r="H32" i="11"/>
  <c r="H26" i="11"/>
  <c r="H21" i="11"/>
  <c r="H14" i="11"/>
  <c r="H8" i="11"/>
  <c r="J6" i="11" l="1"/>
  <c r="K5" i="11"/>
  <c r="F55" i="11"/>
  <c r="E56" i="11" s="1"/>
  <c r="F56" i="11" s="1"/>
  <c r="H22" i="11"/>
  <c r="H23" i="11"/>
  <c r="H9" i="11"/>
  <c r="K6" i="11" l="1"/>
  <c r="L5" i="11"/>
  <c r="H55" i="11"/>
  <c r="E34" i="11"/>
  <c r="E40" i="11" s="1"/>
  <c r="H33" i="11"/>
  <c r="H10" i="11"/>
  <c r="H24" i="11"/>
  <c r="H13" i="11"/>
  <c r="L6" i="11" l="1"/>
  <c r="M5" i="11"/>
  <c r="F34" i="11"/>
  <c r="F40" i="11" s="1"/>
  <c r="H15" i="11"/>
  <c r="H25" i="11"/>
  <c r="H16" i="11"/>
  <c r="H11" i="11"/>
  <c r="H12" i="11"/>
  <c r="N5" i="11" l="1"/>
  <c r="M6" i="11"/>
  <c r="H39" i="11"/>
  <c r="H31" i="11"/>
  <c r="H20" i="11"/>
  <c r="H19" i="11"/>
  <c r="H18" i="11"/>
  <c r="O5" i="11" l="1"/>
  <c r="N6" i="11"/>
  <c r="H27" i="11"/>
  <c r="H30" i="11"/>
  <c r="O6" i="11" l="1"/>
  <c r="P5" i="11"/>
  <c r="H28" i="11"/>
  <c r="H29" i="11"/>
  <c r="Q5" i="11" l="1"/>
  <c r="P6" i="11"/>
  <c r="P4" i="11"/>
  <c r="R5" i="11" l="1"/>
  <c r="Q6" i="11"/>
  <c r="S5" i="11" l="1"/>
  <c r="R6" i="11"/>
  <c r="T5" i="11" l="1"/>
  <c r="S6" i="11"/>
  <c r="U5" i="11" l="1"/>
  <c r="T6" i="11"/>
  <c r="V5" i="11" l="1"/>
  <c r="U6" i="11"/>
  <c r="V6" i="11" l="1"/>
  <c r="W5" i="11"/>
  <c r="W6" i="11" l="1"/>
  <c r="X5" i="11"/>
  <c r="W4" i="11"/>
  <c r="X6" i="11" l="1"/>
  <c r="Y5" i="11"/>
  <c r="Z5" i="11" l="1"/>
  <c r="Y6" i="11"/>
  <c r="AA5" i="11" l="1"/>
  <c r="Z6" i="11"/>
  <c r="AA6" i="11" l="1"/>
  <c r="AB5" i="11"/>
  <c r="AB6" i="11" l="1"/>
  <c r="AC5" i="11"/>
  <c r="AC6" i="11" l="1"/>
  <c r="AD5" i="11"/>
  <c r="AE5" i="11" l="1"/>
  <c r="AD6" i="11"/>
  <c r="AD4" i="11"/>
  <c r="AE6" i="11" l="1"/>
  <c r="AF5" i="11"/>
  <c r="AG5" i="11" l="1"/>
  <c r="AF6" i="11"/>
  <c r="AH5" i="11" l="1"/>
  <c r="AG6" i="11"/>
  <c r="AI5" i="11" l="1"/>
  <c r="AH6" i="11"/>
  <c r="AJ5" i="11" l="1"/>
  <c r="AI6" i="11"/>
  <c r="AJ6" i="11" l="1"/>
</calcChain>
</file>

<file path=xl/sharedStrings.xml><?xml version="1.0" encoding="utf-8"?>
<sst xmlns="http://schemas.openxmlformats.org/spreadsheetml/2006/main" count="108" uniqueCount="64">
  <si>
    <t>CIVE 202 Project #4</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</si>
  <si>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</si>
  <si>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</si>
  <si>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</si>
  <si>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</si>
  <si>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</si>
  <si>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</si>
  <si>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</si>
  <si>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</si>
  <si>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Github Repository</t>
  </si>
  <si>
    <t>Create Github</t>
  </si>
  <si>
    <t>Jacob</t>
  </si>
  <si>
    <t>Create README Document</t>
  </si>
  <si>
    <t>David</t>
  </si>
  <si>
    <t>Combine information/Files</t>
  </si>
  <si>
    <t>ALL</t>
  </si>
  <si>
    <t>Upload All Files to Github</t>
  </si>
  <si>
    <t>Submit</t>
  </si>
  <si>
    <t>Scope of Work</t>
  </si>
  <si>
    <t>Identify Tasks</t>
  </si>
  <si>
    <t>Create SOW</t>
  </si>
  <si>
    <t>Task 1-2</t>
  </si>
  <si>
    <t>Anicet/Jacob</t>
  </si>
  <si>
    <t>Task 2-4</t>
  </si>
  <si>
    <t>Jacob/David</t>
  </si>
  <si>
    <t>Review</t>
  </si>
  <si>
    <t>Submit SOW</t>
  </si>
  <si>
    <t>Gantt Chart</t>
  </si>
  <si>
    <t>Create Gantt Chart</t>
  </si>
  <si>
    <t>Anicet</t>
  </si>
  <si>
    <t>Turn in Gantt Chart</t>
  </si>
  <si>
    <t>Data Processing &amp; Risk Analysis</t>
  </si>
  <si>
    <t>Missing Value Handling</t>
  </si>
  <si>
    <t>Convert Formats</t>
  </si>
  <si>
    <t>Filter CO &amp; TX</t>
  </si>
  <si>
    <t>Standardize Naming</t>
  </si>
  <si>
    <t>Discuss/Apply To Report</t>
  </si>
  <si>
    <t>Python Code</t>
  </si>
  <si>
    <t>LAB 1 Material</t>
  </si>
  <si>
    <t>LAB 2 Material</t>
  </si>
  <si>
    <t>LAB 3 Material</t>
  </si>
  <si>
    <t>Combine/Polish</t>
  </si>
  <si>
    <t>Review and Submit</t>
  </si>
  <si>
    <t>Annotated Code Document</t>
  </si>
  <si>
    <t>Data Integration</t>
  </si>
  <si>
    <t>Join NRI datasets</t>
  </si>
  <si>
    <t>Merge SVI</t>
  </si>
  <si>
    <t>Validate Joins</t>
  </si>
  <si>
    <t>Risk Definiton</t>
  </si>
  <si>
    <t>Analyze NRI Model</t>
  </si>
  <si>
    <t>Visualizations</t>
  </si>
  <si>
    <t>Tables &amp; Graphs</t>
  </si>
  <si>
    <t>GeoPandas Map</t>
  </si>
  <si>
    <t>Written Report</t>
  </si>
  <si>
    <t>Analyze Outputs</t>
  </si>
  <si>
    <t>Create Document to Standards</t>
  </si>
  <si>
    <t>Build New Model</t>
  </si>
  <si>
    <t>DEPENDENCIES</t>
  </si>
  <si>
    <t>Right Symbol is Dependent Upon Left Symbol</t>
  </si>
  <si>
    <t>FINAL REPORT</t>
  </si>
  <si>
    <t>GITHUB REPO</t>
  </si>
  <si>
    <t>CODE DOCUMENT</t>
  </si>
  <si>
    <t>ANNOTATED CD</t>
  </si>
  <si>
    <t>Jacob Oetken, Anicet Atikpohou, David 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</si>
</sst>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b/>
      <sz val="11"/>
      <color theme="1"/>
      <name val="Arial"/>
      <family val="2"/>
      <scheme val="minor"/>
    </font>
    <font>
      <sz val="22"/>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3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3" fillId="12" borderId="19" xfId="0" applyNumberFormat="1" applyFont="1" applyFill="1" applyBorder="1" applyAlignment="1">
      <alignment horizontal="center" vertical="center"/>
    </xf>
    <xf numFmtId="167" fontId="13" fillId="12" borderId="17" xfId="0" applyNumberFormat="1" applyFont="1" applyFill="1" applyBorder="1" applyAlignment="1">
      <alignment horizontal="center" vertical="center"/>
    </xf>
    <xf numFmtId="167" fontId="13" fillId="12"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11" fillId="0" borderId="0" xfId="0" applyFont="1" applyAlignment="1">
      <alignment wrapText="1"/>
    </xf>
    <xf numFmtId="0" fontId="4" fillId="0" borderId="3" xfId="0" applyFont="1" applyBorder="1" applyAlignment="1">
      <alignment vertical="center"/>
    </xf>
    <xf numFmtId="0" fontId="15" fillId="6" borderId="0" xfId="0" applyFont="1" applyFill="1" applyAlignment="1">
      <alignment horizontal="left" vertical="center" indent="1"/>
    </xf>
    <xf numFmtId="0" fontId="11" fillId="6" borderId="0" xfId="11" applyFont="1" applyFill="1" applyBorder="1" applyAlignment="1">
      <alignment vertical="center"/>
    </xf>
    <xf numFmtId="9" fontId="1" fillId="6" borderId="0" xfId="2" applyFont="1" applyFill="1" applyBorder="1" applyAlignment="1">
      <alignment horizontal="center" vertical="center"/>
    </xf>
    <xf numFmtId="164" fontId="1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1" fillId="3" borderId="6" xfId="12" applyFont="1" applyFill="1" applyBorder="1">
      <alignment horizontal="left" vertical="center" indent="2"/>
    </xf>
    <xf numFmtId="0" fontId="11" fillId="3" borderId="6" xfId="11" applyFont="1" applyFill="1" applyBorder="1" applyAlignment="1">
      <alignment vertical="center"/>
    </xf>
    <xf numFmtId="9" fontId="1" fillId="3" borderId="6" xfId="2" applyFont="1" applyFill="1" applyBorder="1" applyAlignment="1">
      <alignment horizontal="center" vertical="center"/>
    </xf>
    <xf numFmtId="164"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0" fontId="11" fillId="3" borderId="7" xfId="11" applyFont="1" applyFill="1" applyBorder="1" applyAlignment="1">
      <alignment vertical="center"/>
    </xf>
    <xf numFmtId="9" fontId="1" fillId="3" borderId="7" xfId="2" applyFont="1" applyFill="1" applyBorder="1" applyAlignment="1">
      <alignment horizontal="center" vertical="center"/>
    </xf>
    <xf numFmtId="164"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0" fontId="11" fillId="7" borderId="0" xfId="11" applyFont="1" applyFill="1" applyBorder="1" applyAlignment="1">
      <alignment vertical="center"/>
    </xf>
    <xf numFmtId="9" fontId="1" fillId="7" borderId="0" xfId="2" applyFont="1" applyFill="1" applyBorder="1" applyAlignment="1">
      <alignment horizontal="center" vertical="center"/>
    </xf>
    <xf numFmtId="164" fontId="11"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1" fillId="4" borderId="5" xfId="12" applyFont="1" applyFill="1" applyBorder="1">
      <alignment horizontal="left" vertical="center" indent="2"/>
    </xf>
    <xf numFmtId="0" fontId="11" fillId="4" borderId="5" xfId="11" applyFont="1" applyFill="1" applyBorder="1" applyAlignment="1">
      <alignment vertical="center"/>
    </xf>
    <xf numFmtId="9" fontId="1" fillId="4" borderId="5" xfId="2" applyFont="1" applyFill="1" applyBorder="1" applyAlignment="1">
      <alignment horizontal="center" vertical="center"/>
    </xf>
    <xf numFmtId="164" fontId="11" fillId="4" borderId="5" xfId="10" applyFont="1" applyFill="1" applyBorder="1">
      <alignment horizontal="center" vertical="center"/>
    </xf>
    <xf numFmtId="0" fontId="15" fillId="8" borderId="0" xfId="0" applyFont="1" applyFill="1" applyAlignment="1">
      <alignment horizontal="left" vertical="center" indent="1"/>
    </xf>
    <xf numFmtId="0" fontId="11" fillId="8" borderId="0" xfId="11" applyFont="1" applyFill="1" applyBorder="1" applyAlignment="1">
      <alignment vertical="center"/>
    </xf>
    <xf numFmtId="9" fontId="1" fillId="8" borderId="0" xfId="2" applyFont="1" applyFill="1" applyBorder="1" applyAlignment="1">
      <alignment horizontal="center" vertical="center"/>
    </xf>
    <xf numFmtId="164" fontId="11"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1" fillId="5" borderId="8" xfId="12" applyFont="1" applyFill="1" applyBorder="1">
      <alignment horizontal="left" vertical="center" indent="2"/>
    </xf>
    <xf numFmtId="0" fontId="11" fillId="5" borderId="8" xfId="11" applyFont="1" applyFill="1" applyBorder="1" applyAlignment="1">
      <alignment vertical="center"/>
    </xf>
    <xf numFmtId="9" fontId="1" fillId="5" borderId="8" xfId="2" applyFont="1" applyFill="1" applyBorder="1" applyAlignment="1">
      <alignment horizontal="center" vertical="center"/>
    </xf>
    <xf numFmtId="164" fontId="11" fillId="5" borderId="8" xfId="10" applyFont="1" applyFill="1" applyBorder="1">
      <alignment horizontal="center" vertical="center"/>
    </xf>
    <xf numFmtId="0" fontId="15" fillId="9" borderId="0" xfId="0" applyFont="1" applyFill="1" applyAlignment="1">
      <alignment horizontal="left" vertical="center" indent="1"/>
    </xf>
    <xf numFmtId="0" fontId="11" fillId="9" borderId="0" xfId="11" applyFont="1" applyFill="1" applyBorder="1" applyAlignment="1">
      <alignment vertical="center"/>
    </xf>
    <xf numFmtId="9" fontId="1" fillId="9" borderId="0" xfId="2" applyFont="1" applyFill="1" applyBorder="1" applyAlignment="1">
      <alignment horizontal="center" vertical="center"/>
    </xf>
    <xf numFmtId="164" fontId="11"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1" fillId="10" borderId="9" xfId="12" applyFont="1" applyFill="1" applyBorder="1">
      <alignment horizontal="left" vertical="center" indent="2"/>
    </xf>
    <xf numFmtId="0" fontId="11" fillId="10" borderId="9" xfId="11" applyFont="1" applyFill="1" applyBorder="1" applyAlignment="1">
      <alignment vertical="center"/>
    </xf>
    <xf numFmtId="9" fontId="1" fillId="10" borderId="9" xfId="2" applyFont="1" applyFill="1" applyBorder="1" applyAlignment="1">
      <alignment horizontal="center" vertical="center"/>
    </xf>
    <xf numFmtId="164" fontId="11" fillId="10" borderId="9" xfId="10" applyFont="1" applyFill="1" applyBorder="1">
      <alignment horizontal="center" vertical="center"/>
    </xf>
    <xf numFmtId="0" fontId="19" fillId="0" borderId="0" xfId="5" applyFont="1" applyAlignment="1">
      <alignment horizontal="left" vertical="center"/>
    </xf>
    <xf numFmtId="0" fontId="0" fillId="0" borderId="0" xfId="0" applyAlignment="1">
      <alignment vertical="center"/>
    </xf>
    <xf numFmtId="0" fontId="4" fillId="0" borderId="11" xfId="0" applyFont="1" applyBorder="1" applyAlignment="1">
      <alignment horizontal="right" vertical="center"/>
    </xf>
    <xf numFmtId="0" fontId="0" fillId="0" borderId="24" xfId="0" applyBorder="1"/>
    <xf numFmtId="0" fontId="4" fillId="0" borderId="26" xfId="0" applyFont="1" applyBorder="1"/>
    <xf numFmtId="0" fontId="4" fillId="0" borderId="24" xfId="0" applyFont="1" applyBorder="1"/>
    <xf numFmtId="0" fontId="4" fillId="0" borderId="27" xfId="0" applyFont="1" applyBorder="1"/>
    <xf numFmtId="0" fontId="0" fillId="0" borderId="26" xfId="0" applyBorder="1"/>
    <xf numFmtId="0" fontId="0" fillId="0" borderId="28" xfId="0" applyBorder="1"/>
    <xf numFmtId="0" fontId="0" fillId="0" borderId="21" xfId="0" applyBorder="1"/>
    <xf numFmtId="0" fontId="0" fillId="0" borderId="23" xfId="0" applyBorder="1"/>
    <xf numFmtId="0" fontId="0" fillId="0" borderId="30" xfId="0" applyBorder="1"/>
    <xf numFmtId="0" fontId="4" fillId="0" borderId="28" xfId="0" applyFont="1" applyBorder="1"/>
    <xf numFmtId="0" fontId="4" fillId="0" borderId="21" xfId="0" applyFont="1" applyBorder="1"/>
    <xf numFmtId="0" fontId="4" fillId="0" borderId="22" xfId="0" applyFont="1" applyBorder="1"/>
    <xf numFmtId="0" fontId="4" fillId="0" borderId="23" xfId="0" applyFont="1" applyBorder="1"/>
    <xf numFmtId="0" fontId="4" fillId="0" borderId="30" xfId="0" applyFont="1" applyBorder="1"/>
    <xf numFmtId="0" fontId="21" fillId="0" borderId="21"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20" fillId="0" borderId="29" xfId="0" applyFont="1" applyBorder="1" applyAlignment="1">
      <alignment horizontal="center" vertical="center"/>
    </xf>
    <xf numFmtId="166" fontId="11" fillId="2" borderId="13" xfId="0" applyNumberFormat="1" applyFont="1" applyFill="1" applyBorder="1" applyAlignment="1">
      <alignment horizontal="center" vertical="center" wrapText="1"/>
    </xf>
    <xf numFmtId="0" fontId="12" fillId="11" borderId="15" xfId="0" applyFont="1" applyFill="1" applyBorder="1" applyAlignment="1">
      <alignment horizontal="center" vertical="center"/>
    </xf>
    <xf numFmtId="0" fontId="4" fillId="2" borderId="20" xfId="0" applyFont="1" applyFill="1" applyBorder="1"/>
    <xf numFmtId="0" fontId="17" fillId="0" borderId="0" xfId="0" applyFont="1" applyAlignment="1">
      <alignment horizontal="left"/>
    </xf>
    <xf numFmtId="0" fontId="18" fillId="0" borderId="0" xfId="0" applyFont="1"/>
    <xf numFmtId="165" fontId="17" fillId="0" borderId="0" xfId="9" applyFont="1" applyBorder="1" applyAlignment="1">
      <alignment horizontal="left"/>
    </xf>
    <xf numFmtId="0" fontId="16" fillId="0" borderId="0" xfId="8" applyFont="1" applyAlignment="1">
      <alignment horizontal="left"/>
    </xf>
    <xf numFmtId="0" fontId="4" fillId="0" borderId="0" xfId="0" applyFont="1"/>
    <xf numFmtId="0" fontId="16" fillId="0" borderId="0" xfId="6" applyFont="1" applyAlignment="1">
      <alignment horizontal="center" vertical="center"/>
    </xf>
    <xf numFmtId="166" fontId="11" fillId="2" borderId="17" xfId="0" applyNumberFormat="1" applyFont="1" applyFill="1" applyBorder="1" applyAlignment="1">
      <alignment horizontal="center" vertical="center" wrapText="1"/>
    </xf>
    <xf numFmtId="0" fontId="7" fillId="0" borderId="0" xfId="3" applyAlignment="1">
      <alignment wrapText="1"/>
    </xf>
    <xf numFmtId="0" fontId="12"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11" borderId="15"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7">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secondRowStripe" dxfId="40"/>
      <tableStyleElement type="firstColumnStripe" dxfId="39"/>
      <tableStyleElement type="secondColumnStripe"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1EADA"/>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367392</xdr:colOff>
      <xdr:row>0</xdr:row>
      <xdr:rowOff>1006928</xdr:rowOff>
    </xdr:from>
    <xdr:to>
      <xdr:col>38</xdr:col>
      <xdr:colOff>628649</xdr:colOff>
      <xdr:row>3</xdr:row>
      <xdr:rowOff>16328</xdr:rowOff>
    </xdr:to>
    <xdr:sp macro="" textlink="">
      <xdr:nvSpPr>
        <xdr:cNvPr id="23" name="Rectangle 22">
          <a:extLst>
            <a:ext uri="{FF2B5EF4-FFF2-40B4-BE49-F238E27FC236}">
              <a16:creationId xmlns:a16="http://schemas.microsoft.com/office/drawing/2014/main" id="{6C69CB32-0E78-4007-B6AD-0EE28FD2F162}"/>
            </a:ext>
          </a:extLst>
        </xdr:cNvPr>
        <xdr:cNvSpPr/>
      </xdr:nvSpPr>
      <xdr:spPr>
        <a:xfrm>
          <a:off x="22570167" y="1006928"/>
          <a:ext cx="918482" cy="809625"/>
        </a:xfrm>
        <a:prstGeom prst="rect">
          <a:avLst/>
        </a:prstGeom>
        <a:no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_</a:t>
          </a:r>
        </a:p>
      </xdr:txBody>
    </xdr:sp>
    <xdr:clientData/>
  </xdr:twoCellAnchor>
  <xdr:twoCellAnchor>
    <xdr:from>
      <xdr:col>43</xdr:col>
      <xdr:colOff>2722</xdr:colOff>
      <xdr:row>0</xdr:row>
      <xdr:rowOff>1009650</xdr:rowOff>
    </xdr:from>
    <xdr:to>
      <xdr:col>44</xdr:col>
      <xdr:colOff>263979</xdr:colOff>
      <xdr:row>3</xdr:row>
      <xdr:rowOff>19050</xdr:rowOff>
    </xdr:to>
    <xdr:sp macro="" textlink="">
      <xdr:nvSpPr>
        <xdr:cNvPr id="24" name="Rectangle 23">
          <a:extLst>
            <a:ext uri="{FF2B5EF4-FFF2-40B4-BE49-F238E27FC236}">
              <a16:creationId xmlns:a16="http://schemas.microsoft.com/office/drawing/2014/main" id="{4B7FC1B1-0E68-4E8F-8C26-5B31E769C4BB}"/>
            </a:ext>
          </a:extLst>
        </xdr:cNvPr>
        <xdr:cNvSpPr/>
      </xdr:nvSpPr>
      <xdr:spPr>
        <a:xfrm>
          <a:off x="26272672" y="1009650"/>
          <a:ext cx="918482" cy="809625"/>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_</a:t>
          </a:r>
        </a:p>
      </xdr:txBody>
    </xdr:sp>
    <xdr:clientData/>
  </xdr:twoCellAnchor>
  <xdr:twoCellAnchor>
    <xdr:from>
      <xdr:col>37</xdr:col>
      <xdr:colOff>136072</xdr:colOff>
      <xdr:row>54</xdr:row>
      <xdr:rowOff>163286</xdr:rowOff>
    </xdr:from>
    <xdr:to>
      <xdr:col>38</xdr:col>
      <xdr:colOff>530679</xdr:colOff>
      <xdr:row>57</xdr:row>
      <xdr:rowOff>217714</xdr:rowOff>
    </xdr:to>
    <xdr:sp macro="" textlink="">
      <xdr:nvSpPr>
        <xdr:cNvPr id="39" name="Rectangle 38">
          <a:extLst>
            <a:ext uri="{FF2B5EF4-FFF2-40B4-BE49-F238E27FC236}">
              <a16:creationId xmlns:a16="http://schemas.microsoft.com/office/drawing/2014/main" id="{150113DE-C2F5-41D5-ACA3-5B71A36B2B49}"/>
            </a:ext>
          </a:extLst>
        </xdr:cNvPr>
        <xdr:cNvSpPr/>
      </xdr:nvSpPr>
      <xdr:spPr>
        <a:xfrm>
          <a:off x="17594036" y="19675929"/>
          <a:ext cx="1047750" cy="1197428"/>
        </a:xfrm>
        <a:prstGeom prst="rect">
          <a:avLst/>
        </a:prstGeom>
        <a:solidFill>
          <a:schemeClr val="accent3">
            <a:lumMod val="75000"/>
          </a:schemeClr>
        </a:solid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176893</xdr:colOff>
      <xdr:row>32</xdr:row>
      <xdr:rowOff>204107</xdr:rowOff>
    </xdr:from>
    <xdr:to>
      <xdr:col>38</xdr:col>
      <xdr:colOff>456705</xdr:colOff>
      <xdr:row>36</xdr:row>
      <xdr:rowOff>204107</xdr:rowOff>
    </xdr:to>
    <xdr:sp macro="" textlink="">
      <xdr:nvSpPr>
        <xdr:cNvPr id="40" name="Rectangle 39">
          <a:extLst>
            <a:ext uri="{FF2B5EF4-FFF2-40B4-BE49-F238E27FC236}">
              <a16:creationId xmlns:a16="http://schemas.microsoft.com/office/drawing/2014/main" id="{B1D2996B-7B02-465B-AF9D-202373DBCCC5}"/>
            </a:ext>
          </a:extLst>
        </xdr:cNvPr>
        <xdr:cNvSpPr/>
      </xdr:nvSpPr>
      <xdr:spPr>
        <a:xfrm>
          <a:off x="17634857" y="11334750"/>
          <a:ext cx="932955" cy="15240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149679</xdr:colOff>
      <xdr:row>44</xdr:row>
      <xdr:rowOff>136072</xdr:rowOff>
    </xdr:from>
    <xdr:to>
      <xdr:col>38</xdr:col>
      <xdr:colOff>517072</xdr:colOff>
      <xdr:row>46</xdr:row>
      <xdr:rowOff>231321</xdr:rowOff>
    </xdr:to>
    <xdr:sp macro="" textlink="">
      <xdr:nvSpPr>
        <xdr:cNvPr id="41" name="Rectangle 40">
          <a:extLst>
            <a:ext uri="{FF2B5EF4-FFF2-40B4-BE49-F238E27FC236}">
              <a16:creationId xmlns:a16="http://schemas.microsoft.com/office/drawing/2014/main" id="{EBAA87E2-783E-4C5B-915C-71048E573DAB}"/>
            </a:ext>
          </a:extLst>
        </xdr:cNvPr>
        <xdr:cNvSpPr/>
      </xdr:nvSpPr>
      <xdr:spPr>
        <a:xfrm>
          <a:off x="17607643" y="15838715"/>
          <a:ext cx="1020536" cy="85724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108857</xdr:colOff>
      <xdr:row>48</xdr:row>
      <xdr:rowOff>122464</xdr:rowOff>
    </xdr:from>
    <xdr:to>
      <xdr:col>38</xdr:col>
      <xdr:colOff>544285</xdr:colOff>
      <xdr:row>49</xdr:row>
      <xdr:rowOff>272143</xdr:rowOff>
    </xdr:to>
    <xdr:sp macro="" textlink="">
      <xdr:nvSpPr>
        <xdr:cNvPr id="42" name="Rectangle 41">
          <a:extLst>
            <a:ext uri="{FF2B5EF4-FFF2-40B4-BE49-F238E27FC236}">
              <a16:creationId xmlns:a16="http://schemas.microsoft.com/office/drawing/2014/main" id="{B717ADD2-CF6D-4A36-A81E-3B8A9E029A9F}"/>
            </a:ext>
          </a:extLst>
        </xdr:cNvPr>
        <xdr:cNvSpPr/>
      </xdr:nvSpPr>
      <xdr:spPr>
        <a:xfrm>
          <a:off x="17566821" y="17349107"/>
          <a:ext cx="1088571" cy="53067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111579</xdr:colOff>
      <xdr:row>51</xdr:row>
      <xdr:rowOff>125186</xdr:rowOff>
    </xdr:from>
    <xdr:to>
      <xdr:col>38</xdr:col>
      <xdr:colOff>547007</xdr:colOff>
      <xdr:row>52</xdr:row>
      <xdr:rowOff>274865</xdr:rowOff>
    </xdr:to>
    <xdr:sp macro="" textlink="">
      <xdr:nvSpPr>
        <xdr:cNvPr id="45" name="Rectangle 44">
          <a:extLst>
            <a:ext uri="{FF2B5EF4-FFF2-40B4-BE49-F238E27FC236}">
              <a16:creationId xmlns:a16="http://schemas.microsoft.com/office/drawing/2014/main" id="{F185CB23-DE42-41FC-ABCB-BC6260ADFDF4}"/>
            </a:ext>
          </a:extLst>
        </xdr:cNvPr>
        <xdr:cNvSpPr/>
      </xdr:nvSpPr>
      <xdr:spPr>
        <a:xfrm>
          <a:off x="17569543" y="18494829"/>
          <a:ext cx="1088571" cy="530679"/>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149679</xdr:colOff>
      <xdr:row>8</xdr:row>
      <xdr:rowOff>149679</xdr:rowOff>
    </xdr:from>
    <xdr:to>
      <xdr:col>38</xdr:col>
      <xdr:colOff>503464</xdr:colOff>
      <xdr:row>12</xdr:row>
      <xdr:rowOff>204107</xdr:rowOff>
    </xdr:to>
    <xdr:sp macro="" textlink="">
      <xdr:nvSpPr>
        <xdr:cNvPr id="46" name="Rectangle 45">
          <a:extLst>
            <a:ext uri="{FF2B5EF4-FFF2-40B4-BE49-F238E27FC236}">
              <a16:creationId xmlns:a16="http://schemas.microsoft.com/office/drawing/2014/main" id="{1F8DC106-3A91-4DF6-9F81-1BEA06528D85}"/>
            </a:ext>
          </a:extLst>
        </xdr:cNvPr>
        <xdr:cNvSpPr/>
      </xdr:nvSpPr>
      <xdr:spPr>
        <a:xfrm>
          <a:off x="17607643" y="2136322"/>
          <a:ext cx="1006928" cy="1578428"/>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138793</xdr:colOff>
      <xdr:row>14</xdr:row>
      <xdr:rowOff>166007</xdr:rowOff>
    </xdr:from>
    <xdr:to>
      <xdr:col>38</xdr:col>
      <xdr:colOff>517072</xdr:colOff>
      <xdr:row>19</xdr:row>
      <xdr:rowOff>231320</xdr:rowOff>
    </xdr:to>
    <xdr:sp macro="" textlink="">
      <xdr:nvSpPr>
        <xdr:cNvPr id="47" name="Rectangle 46">
          <a:extLst>
            <a:ext uri="{FF2B5EF4-FFF2-40B4-BE49-F238E27FC236}">
              <a16:creationId xmlns:a16="http://schemas.microsoft.com/office/drawing/2014/main" id="{ADCE43F5-EE6F-4D45-AF65-8BC5C5956766}"/>
            </a:ext>
          </a:extLst>
        </xdr:cNvPr>
        <xdr:cNvSpPr/>
      </xdr:nvSpPr>
      <xdr:spPr>
        <a:xfrm>
          <a:off x="17596757" y="4438650"/>
          <a:ext cx="1031422" cy="1970313"/>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152400</xdr:colOff>
      <xdr:row>26</xdr:row>
      <xdr:rowOff>176894</xdr:rowOff>
    </xdr:from>
    <xdr:to>
      <xdr:col>38</xdr:col>
      <xdr:colOff>519793</xdr:colOff>
      <xdr:row>30</xdr:row>
      <xdr:rowOff>247650</xdr:rowOff>
    </xdr:to>
    <xdr:sp macro="" textlink="">
      <xdr:nvSpPr>
        <xdr:cNvPr id="48" name="Rectangle 47">
          <a:extLst>
            <a:ext uri="{FF2B5EF4-FFF2-40B4-BE49-F238E27FC236}">
              <a16:creationId xmlns:a16="http://schemas.microsoft.com/office/drawing/2014/main" id="{AE351F6C-37EA-425B-B779-0A9C51470D66}"/>
            </a:ext>
          </a:extLst>
        </xdr:cNvPr>
        <xdr:cNvSpPr/>
      </xdr:nvSpPr>
      <xdr:spPr>
        <a:xfrm>
          <a:off x="17610364" y="9021537"/>
          <a:ext cx="1020536" cy="1594756"/>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39</xdr:col>
      <xdr:colOff>138793</xdr:colOff>
      <xdr:row>8</xdr:row>
      <xdr:rowOff>163286</xdr:rowOff>
    </xdr:from>
    <xdr:to>
      <xdr:col>40</xdr:col>
      <xdr:colOff>544286</xdr:colOff>
      <xdr:row>12</xdr:row>
      <xdr:rowOff>190499</xdr:rowOff>
    </xdr:to>
    <xdr:sp macro="" textlink="">
      <xdr:nvSpPr>
        <xdr:cNvPr id="51" name="Rectangle 50">
          <a:extLst>
            <a:ext uri="{FF2B5EF4-FFF2-40B4-BE49-F238E27FC236}">
              <a16:creationId xmlns:a16="http://schemas.microsoft.com/office/drawing/2014/main" id="{82DC7495-DD95-4099-98BF-2B6C3795037B}"/>
            </a:ext>
          </a:extLst>
        </xdr:cNvPr>
        <xdr:cNvSpPr/>
      </xdr:nvSpPr>
      <xdr:spPr>
        <a:xfrm>
          <a:off x="18903043" y="2149929"/>
          <a:ext cx="1058636" cy="1551213"/>
        </a:xfrm>
        <a:prstGeom prst="rect">
          <a:avLst/>
        </a:prstGeom>
        <a:solidFill>
          <a:schemeClr val="accent1">
            <a:lumMod val="40000"/>
            <a:lumOff val="60000"/>
          </a:schemeClr>
        </a:solid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122465</xdr:colOff>
      <xdr:row>14</xdr:row>
      <xdr:rowOff>163286</xdr:rowOff>
    </xdr:from>
    <xdr:to>
      <xdr:col>40</xdr:col>
      <xdr:colOff>544286</xdr:colOff>
      <xdr:row>19</xdr:row>
      <xdr:rowOff>217714</xdr:rowOff>
    </xdr:to>
    <xdr:sp macro="" textlink="">
      <xdr:nvSpPr>
        <xdr:cNvPr id="52" name="Rectangle 51">
          <a:extLst>
            <a:ext uri="{FF2B5EF4-FFF2-40B4-BE49-F238E27FC236}">
              <a16:creationId xmlns:a16="http://schemas.microsoft.com/office/drawing/2014/main" id="{7003428B-BCAD-4365-99E1-82D35BA1CD99}"/>
            </a:ext>
          </a:extLst>
        </xdr:cNvPr>
        <xdr:cNvSpPr/>
      </xdr:nvSpPr>
      <xdr:spPr>
        <a:xfrm>
          <a:off x="18886715" y="4435929"/>
          <a:ext cx="1074964" cy="1959428"/>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122465</xdr:colOff>
      <xdr:row>21</xdr:row>
      <xdr:rowOff>136072</xdr:rowOff>
    </xdr:from>
    <xdr:to>
      <xdr:col>40</xdr:col>
      <xdr:colOff>530678</xdr:colOff>
      <xdr:row>24</xdr:row>
      <xdr:rowOff>217714</xdr:rowOff>
    </xdr:to>
    <xdr:sp macro="" textlink="">
      <xdr:nvSpPr>
        <xdr:cNvPr id="53" name="Rectangle 52">
          <a:extLst>
            <a:ext uri="{FF2B5EF4-FFF2-40B4-BE49-F238E27FC236}">
              <a16:creationId xmlns:a16="http://schemas.microsoft.com/office/drawing/2014/main" id="{1A945989-24AF-4CAD-AAEC-07CAFD48C960}"/>
            </a:ext>
          </a:extLst>
        </xdr:cNvPr>
        <xdr:cNvSpPr/>
      </xdr:nvSpPr>
      <xdr:spPr>
        <a:xfrm>
          <a:off x="18886715" y="7075715"/>
          <a:ext cx="1061356" cy="1224642"/>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149679</xdr:colOff>
      <xdr:row>32</xdr:row>
      <xdr:rowOff>204107</xdr:rowOff>
    </xdr:from>
    <xdr:to>
      <xdr:col>40</xdr:col>
      <xdr:colOff>530678</xdr:colOff>
      <xdr:row>36</xdr:row>
      <xdr:rowOff>204107</xdr:rowOff>
    </xdr:to>
    <xdr:sp macro="" textlink="">
      <xdr:nvSpPr>
        <xdr:cNvPr id="54" name="Rectangle 53">
          <a:extLst>
            <a:ext uri="{FF2B5EF4-FFF2-40B4-BE49-F238E27FC236}">
              <a16:creationId xmlns:a16="http://schemas.microsoft.com/office/drawing/2014/main" id="{F8EBF729-62A9-4E56-8D64-D1CEF1B5B2E8}"/>
            </a:ext>
          </a:extLst>
        </xdr:cNvPr>
        <xdr:cNvSpPr/>
      </xdr:nvSpPr>
      <xdr:spPr>
        <a:xfrm>
          <a:off x="18913929" y="11334750"/>
          <a:ext cx="1034142" cy="15240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122464</xdr:colOff>
      <xdr:row>38</xdr:row>
      <xdr:rowOff>136071</xdr:rowOff>
    </xdr:from>
    <xdr:to>
      <xdr:col>40</xdr:col>
      <xdr:colOff>517070</xdr:colOff>
      <xdr:row>42</xdr:row>
      <xdr:rowOff>231320</xdr:rowOff>
    </xdr:to>
    <xdr:sp macro="" textlink="">
      <xdr:nvSpPr>
        <xdr:cNvPr id="55" name="Rectangle 54">
          <a:extLst>
            <a:ext uri="{FF2B5EF4-FFF2-40B4-BE49-F238E27FC236}">
              <a16:creationId xmlns:a16="http://schemas.microsoft.com/office/drawing/2014/main" id="{150AE17E-ED63-4194-92D5-AD3701FB6817}"/>
            </a:ext>
          </a:extLst>
        </xdr:cNvPr>
        <xdr:cNvSpPr/>
      </xdr:nvSpPr>
      <xdr:spPr>
        <a:xfrm>
          <a:off x="18886714" y="13552714"/>
          <a:ext cx="1047749" cy="1619249"/>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122463</xdr:colOff>
      <xdr:row>54</xdr:row>
      <xdr:rowOff>176891</xdr:rowOff>
    </xdr:from>
    <xdr:to>
      <xdr:col>40</xdr:col>
      <xdr:colOff>530677</xdr:colOff>
      <xdr:row>57</xdr:row>
      <xdr:rowOff>204106</xdr:rowOff>
    </xdr:to>
    <xdr:sp macro="" textlink="">
      <xdr:nvSpPr>
        <xdr:cNvPr id="56" name="Rectangle 55">
          <a:extLst>
            <a:ext uri="{FF2B5EF4-FFF2-40B4-BE49-F238E27FC236}">
              <a16:creationId xmlns:a16="http://schemas.microsoft.com/office/drawing/2014/main" id="{17B7AC4A-4E59-4EB2-A57C-8AB09E447A77}"/>
            </a:ext>
          </a:extLst>
        </xdr:cNvPr>
        <xdr:cNvSpPr/>
      </xdr:nvSpPr>
      <xdr:spPr>
        <a:xfrm>
          <a:off x="18886713" y="19689534"/>
          <a:ext cx="1061357" cy="1170215"/>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41</xdr:col>
      <xdr:colOff>121226</xdr:colOff>
      <xdr:row>32</xdr:row>
      <xdr:rowOff>190499</xdr:rowOff>
    </xdr:from>
    <xdr:to>
      <xdr:col>42</xdr:col>
      <xdr:colOff>527538</xdr:colOff>
      <xdr:row>36</xdr:row>
      <xdr:rowOff>212480</xdr:rowOff>
    </xdr:to>
    <xdr:sp macro="" textlink="">
      <xdr:nvSpPr>
        <xdr:cNvPr id="57" name="Rectangle 56">
          <a:extLst>
            <a:ext uri="{FF2B5EF4-FFF2-40B4-BE49-F238E27FC236}">
              <a16:creationId xmlns:a16="http://schemas.microsoft.com/office/drawing/2014/main" id="{055BB62B-9E07-4514-BF4D-35D9188FE632}"/>
            </a:ext>
          </a:extLst>
        </xdr:cNvPr>
        <xdr:cNvSpPr/>
      </xdr:nvSpPr>
      <xdr:spPr>
        <a:xfrm>
          <a:off x="20094418" y="11334749"/>
          <a:ext cx="1080389" cy="1545981"/>
        </a:xfrm>
        <a:prstGeom prst="rect">
          <a:avLst/>
        </a:prstGeom>
        <a:solidFill>
          <a:schemeClr val="accent5">
            <a:lumMod val="60000"/>
            <a:lumOff val="40000"/>
          </a:schemeClr>
        </a:solid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26</xdr:row>
      <xdr:rowOff>163284</xdr:rowOff>
    </xdr:from>
    <xdr:to>
      <xdr:col>42</xdr:col>
      <xdr:colOff>557893</xdr:colOff>
      <xdr:row>30</xdr:row>
      <xdr:rowOff>244927</xdr:rowOff>
    </xdr:to>
    <xdr:sp macro="" textlink="">
      <xdr:nvSpPr>
        <xdr:cNvPr id="58" name="Rectangle 57">
          <a:extLst>
            <a:ext uri="{FF2B5EF4-FFF2-40B4-BE49-F238E27FC236}">
              <a16:creationId xmlns:a16="http://schemas.microsoft.com/office/drawing/2014/main" id="{42E008A7-038B-4EFB-995A-F2BAE801EDA2}"/>
            </a:ext>
          </a:extLst>
        </xdr:cNvPr>
        <xdr:cNvSpPr/>
      </xdr:nvSpPr>
      <xdr:spPr>
        <a:xfrm>
          <a:off x="20193000" y="9007927"/>
          <a:ext cx="1115786" cy="1605643"/>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14</xdr:row>
      <xdr:rowOff>190500</xdr:rowOff>
    </xdr:from>
    <xdr:to>
      <xdr:col>42</xdr:col>
      <xdr:colOff>585107</xdr:colOff>
      <xdr:row>19</xdr:row>
      <xdr:rowOff>217714</xdr:rowOff>
    </xdr:to>
    <xdr:sp macro="" textlink="">
      <xdr:nvSpPr>
        <xdr:cNvPr id="59" name="Rectangle 58">
          <a:extLst>
            <a:ext uri="{FF2B5EF4-FFF2-40B4-BE49-F238E27FC236}">
              <a16:creationId xmlns:a16="http://schemas.microsoft.com/office/drawing/2014/main" id="{48704EB3-41F8-49D8-949B-1C3993D25B81}"/>
            </a:ext>
          </a:extLst>
        </xdr:cNvPr>
        <xdr:cNvSpPr/>
      </xdr:nvSpPr>
      <xdr:spPr>
        <a:xfrm>
          <a:off x="20193000" y="4463143"/>
          <a:ext cx="1143000" cy="1932214"/>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122464</xdr:colOff>
      <xdr:row>44</xdr:row>
      <xdr:rowOff>122464</xdr:rowOff>
    </xdr:from>
    <xdr:to>
      <xdr:col>42</xdr:col>
      <xdr:colOff>585106</xdr:colOff>
      <xdr:row>46</xdr:row>
      <xdr:rowOff>274864</xdr:rowOff>
    </xdr:to>
    <xdr:sp macro="" textlink="">
      <xdr:nvSpPr>
        <xdr:cNvPr id="60" name="Rectangle 59">
          <a:extLst>
            <a:ext uri="{FF2B5EF4-FFF2-40B4-BE49-F238E27FC236}">
              <a16:creationId xmlns:a16="http://schemas.microsoft.com/office/drawing/2014/main" id="{FC818FBE-B8CA-466E-8719-C29B5B77FC52}"/>
            </a:ext>
          </a:extLst>
        </xdr:cNvPr>
        <xdr:cNvSpPr/>
      </xdr:nvSpPr>
      <xdr:spPr>
        <a:xfrm>
          <a:off x="20193000" y="15825107"/>
          <a:ext cx="1142999"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41</xdr:col>
      <xdr:colOff>152399</xdr:colOff>
      <xdr:row>48</xdr:row>
      <xdr:rowOff>138792</xdr:rowOff>
    </xdr:from>
    <xdr:to>
      <xdr:col>42</xdr:col>
      <xdr:colOff>560613</xdr:colOff>
      <xdr:row>49</xdr:row>
      <xdr:rowOff>288471</xdr:rowOff>
    </xdr:to>
    <xdr:sp macro="" textlink="">
      <xdr:nvSpPr>
        <xdr:cNvPr id="61" name="Rectangle 60">
          <a:extLst>
            <a:ext uri="{FF2B5EF4-FFF2-40B4-BE49-F238E27FC236}">
              <a16:creationId xmlns:a16="http://schemas.microsoft.com/office/drawing/2014/main" id="{D1A33B1C-29A2-49EC-93D0-2BAC1595859F}"/>
            </a:ext>
          </a:extLst>
        </xdr:cNvPr>
        <xdr:cNvSpPr/>
      </xdr:nvSpPr>
      <xdr:spPr>
        <a:xfrm>
          <a:off x="20222935" y="17365435"/>
          <a:ext cx="1088571" cy="530679"/>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kern="1200">
              <a:solidFill>
                <a:schemeClr val="tx1"/>
              </a:solidFill>
              <a:latin typeface="+mn-lt"/>
              <a:ea typeface="+mn-ea"/>
              <a:cs typeface="+mn-cs"/>
            </a:rPr>
            <a:t>C</a:t>
          </a:r>
        </a:p>
      </xdr:txBody>
    </xdr:sp>
    <xdr:clientData/>
  </xdr:twoCellAnchor>
  <xdr:twoCellAnchor>
    <xdr:from>
      <xdr:col>41</xdr:col>
      <xdr:colOff>141513</xdr:colOff>
      <xdr:row>51</xdr:row>
      <xdr:rowOff>127906</xdr:rowOff>
    </xdr:from>
    <xdr:to>
      <xdr:col>42</xdr:col>
      <xdr:colOff>549727</xdr:colOff>
      <xdr:row>52</xdr:row>
      <xdr:rowOff>277585</xdr:rowOff>
    </xdr:to>
    <xdr:sp macro="" textlink="">
      <xdr:nvSpPr>
        <xdr:cNvPr id="62" name="Rectangle 61">
          <a:extLst>
            <a:ext uri="{FF2B5EF4-FFF2-40B4-BE49-F238E27FC236}">
              <a16:creationId xmlns:a16="http://schemas.microsoft.com/office/drawing/2014/main" id="{91B10D74-59F3-495F-BD0C-B186ABD82881}"/>
            </a:ext>
          </a:extLst>
        </xdr:cNvPr>
        <xdr:cNvSpPr/>
      </xdr:nvSpPr>
      <xdr:spPr>
        <a:xfrm>
          <a:off x="20212049" y="18497549"/>
          <a:ext cx="1088571" cy="530679"/>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kern="1200">
              <a:solidFill>
                <a:schemeClr val="tx1"/>
              </a:solidFill>
              <a:latin typeface="+mn-lt"/>
              <a:ea typeface="+mn-ea"/>
              <a:cs typeface="+mn-cs"/>
            </a:rPr>
            <a:t>C</a:t>
          </a:r>
        </a:p>
      </xdr:txBody>
    </xdr:sp>
    <xdr:clientData/>
  </xdr:twoCellAnchor>
  <xdr:twoCellAnchor>
    <xdr:from>
      <xdr:col>43</xdr:col>
      <xdr:colOff>122464</xdr:colOff>
      <xdr:row>38</xdr:row>
      <xdr:rowOff>136070</xdr:rowOff>
    </xdr:from>
    <xdr:to>
      <xdr:col>44</xdr:col>
      <xdr:colOff>530677</xdr:colOff>
      <xdr:row>42</xdr:row>
      <xdr:rowOff>244927</xdr:rowOff>
    </xdr:to>
    <xdr:sp macro="" textlink="">
      <xdr:nvSpPr>
        <xdr:cNvPr id="63" name="Rectangle 62">
          <a:extLst>
            <a:ext uri="{FF2B5EF4-FFF2-40B4-BE49-F238E27FC236}">
              <a16:creationId xmlns:a16="http://schemas.microsoft.com/office/drawing/2014/main" id="{B3FCDCFE-D176-44F0-AA72-E21A5F180E1A}"/>
            </a:ext>
          </a:extLst>
        </xdr:cNvPr>
        <xdr:cNvSpPr/>
      </xdr:nvSpPr>
      <xdr:spPr>
        <a:xfrm>
          <a:off x="21553714" y="13552713"/>
          <a:ext cx="1061356" cy="1632857"/>
        </a:xfrm>
        <a:prstGeom prst="rect">
          <a:avLst/>
        </a:prstGeom>
        <a:solidFill>
          <a:schemeClr val="accent2">
            <a:lumMod val="40000"/>
            <a:lumOff val="60000"/>
          </a:schemeClr>
        </a:solid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twoCellAnchor>
    <xdr:from>
      <xdr:col>43</xdr:col>
      <xdr:colOff>149678</xdr:colOff>
      <xdr:row>32</xdr:row>
      <xdr:rowOff>204106</xdr:rowOff>
    </xdr:from>
    <xdr:to>
      <xdr:col>44</xdr:col>
      <xdr:colOff>517070</xdr:colOff>
      <xdr:row>36</xdr:row>
      <xdr:rowOff>190499</xdr:rowOff>
    </xdr:to>
    <xdr:sp macro="" textlink="">
      <xdr:nvSpPr>
        <xdr:cNvPr id="64" name="Rectangle 63">
          <a:extLst>
            <a:ext uri="{FF2B5EF4-FFF2-40B4-BE49-F238E27FC236}">
              <a16:creationId xmlns:a16="http://schemas.microsoft.com/office/drawing/2014/main" id="{6977DABE-2FB5-4745-A8F0-1E60B687C67F}"/>
            </a:ext>
          </a:extLst>
        </xdr:cNvPr>
        <xdr:cNvSpPr/>
      </xdr:nvSpPr>
      <xdr:spPr>
        <a:xfrm>
          <a:off x="21580928" y="11334749"/>
          <a:ext cx="1020535" cy="1510393"/>
        </a:xfrm>
        <a:prstGeom prst="rect">
          <a:avLst/>
        </a:prstGeom>
        <a:no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S60"/>
  <sheetViews>
    <sheetView showGridLines="0" tabSelected="1" showRuler="0" zoomScale="70" zoomScaleNormal="70" zoomScalePageLayoutView="70" workbookViewId="0">
      <selection activeCell="T20" sqref="T20"/>
    </sheetView>
  </sheetViews>
  <sheetFormatPr defaultColWidth="8.625" defaultRowHeight="30" customHeight="1" x14ac:dyDescent="0.2"/>
  <cols>
    <col min="1" max="1" width="2.625" style="4" customWidth="1"/>
    <col min="2" max="2" width="45.375" customWidth="1"/>
    <col min="3" max="3" width="12" bestFit="1" customWidth="1"/>
    <col min="4" max="4" width="10.625" customWidth="1"/>
    <col min="5" max="5" width="10.625" style="2" customWidth="1"/>
    <col min="6" max="6" width="10.625" customWidth="1"/>
    <col min="7" max="7" width="2.625" customWidth="1"/>
    <col min="8" max="8" width="6" hidden="1" customWidth="1"/>
    <col min="9" max="29" width="4.625" customWidth="1"/>
    <col min="30" max="36" width="4.75" customWidth="1"/>
    <col min="37" max="37" width="3" customWidth="1"/>
    <col min="38" max="41" width="8.625" customWidth="1"/>
    <col min="42" max="43" width="8.875" customWidth="1"/>
    <col min="44" max="45" width="8.625" customWidth="1"/>
  </cols>
  <sheetData>
    <row r="1" spans="1:45" ht="41.25" x14ac:dyDescent="0.5">
      <c r="A1" s="5"/>
      <c r="B1" s="69" t="s">
        <v>0</v>
      </c>
      <c r="C1" s="7"/>
      <c r="D1" s="8"/>
      <c r="E1" s="9"/>
      <c r="F1" s="10"/>
      <c r="H1" s="1"/>
      <c r="I1" s="97" t="s">
        <v>1</v>
      </c>
      <c r="J1" s="98"/>
      <c r="K1" s="98"/>
      <c r="L1" s="98"/>
      <c r="M1" s="98"/>
      <c r="N1" s="98"/>
      <c r="O1" s="98"/>
      <c r="P1" s="11"/>
      <c r="Q1" s="96">
        <v>46113</v>
      </c>
      <c r="R1" s="95"/>
      <c r="S1" s="95"/>
      <c r="T1" s="95"/>
      <c r="U1" s="95"/>
      <c r="V1" s="95"/>
      <c r="W1" s="95"/>
      <c r="X1" s="95"/>
      <c r="Y1" s="95"/>
      <c r="Z1" s="95"/>
      <c r="AL1" s="86" t="s">
        <v>57</v>
      </c>
      <c r="AM1" s="87"/>
      <c r="AN1" s="87"/>
      <c r="AO1" s="87"/>
      <c r="AP1" s="87"/>
      <c r="AQ1" s="87"/>
      <c r="AR1" s="87"/>
      <c r="AS1" s="88"/>
    </row>
    <row r="2" spans="1:45" ht="24.75" x14ac:dyDescent="0.5">
      <c r="B2" s="99" t="s">
        <v>63</v>
      </c>
      <c r="C2" s="99"/>
      <c r="D2" s="99"/>
      <c r="E2" s="99"/>
      <c r="F2" s="99"/>
      <c r="I2" s="97" t="s">
        <v>2</v>
      </c>
      <c r="J2" s="98"/>
      <c r="K2" s="98"/>
      <c r="L2" s="98"/>
      <c r="M2" s="98"/>
      <c r="N2" s="98"/>
      <c r="O2" s="98"/>
      <c r="P2" s="11"/>
      <c r="Q2" s="94">
        <v>1</v>
      </c>
      <c r="R2" s="95"/>
      <c r="S2" s="95"/>
      <c r="T2" s="95"/>
      <c r="U2" s="95"/>
      <c r="V2" s="95"/>
      <c r="W2" s="95"/>
      <c r="X2" s="95"/>
      <c r="Y2" s="95"/>
      <c r="Z2" s="95"/>
      <c r="AL2" s="72"/>
      <c r="AN2" s="89" t="s">
        <v>58</v>
      </c>
      <c r="AO2" s="89"/>
      <c r="AP2" s="89"/>
      <c r="AQ2" s="89"/>
      <c r="AR2" s="72"/>
      <c r="AS2" s="80"/>
    </row>
    <row r="3" spans="1:45" s="12" customFormat="1" ht="14.25" x14ac:dyDescent="0.2">
      <c r="A3" s="4"/>
      <c r="B3" s="99"/>
      <c r="C3" s="99"/>
      <c r="D3" s="99"/>
      <c r="E3" s="99"/>
      <c r="F3" s="99"/>
      <c r="AL3" s="73"/>
      <c r="AM3" s="75"/>
      <c r="AN3" s="89"/>
      <c r="AO3" s="89"/>
      <c r="AP3" s="89"/>
      <c r="AQ3" s="89"/>
      <c r="AR3" s="73"/>
      <c r="AS3" s="81"/>
    </row>
    <row r="4" spans="1:45" s="12" customFormat="1" ht="30" customHeight="1" x14ac:dyDescent="0.2">
      <c r="A4" s="5"/>
      <c r="B4" s="13"/>
      <c r="E4" s="14"/>
      <c r="I4" s="100">
        <f>I5</f>
        <v>46111</v>
      </c>
      <c r="J4" s="91"/>
      <c r="K4" s="91"/>
      <c r="L4" s="91"/>
      <c r="M4" s="91"/>
      <c r="N4" s="91"/>
      <c r="O4" s="91"/>
      <c r="P4" s="91">
        <f>P5</f>
        <v>46118</v>
      </c>
      <c r="Q4" s="91"/>
      <c r="R4" s="91"/>
      <c r="S4" s="91"/>
      <c r="T4" s="91"/>
      <c r="U4" s="91"/>
      <c r="V4" s="91"/>
      <c r="W4" s="91">
        <f>W5</f>
        <v>46125</v>
      </c>
      <c r="X4" s="91"/>
      <c r="Y4" s="91"/>
      <c r="Z4" s="91"/>
      <c r="AA4" s="91"/>
      <c r="AB4" s="91"/>
      <c r="AC4" s="91"/>
      <c r="AD4" s="91">
        <f t="shared" ref="AD4" si="0">AD5</f>
        <v>46132</v>
      </c>
      <c r="AE4" s="91"/>
      <c r="AF4" s="91"/>
      <c r="AG4" s="91"/>
      <c r="AH4" s="91"/>
      <c r="AI4" s="91"/>
      <c r="AJ4" s="91"/>
      <c r="AL4" s="82"/>
      <c r="AM4" s="83"/>
      <c r="AN4" s="83"/>
      <c r="AO4" s="83"/>
      <c r="AP4" s="83"/>
      <c r="AQ4" s="83"/>
      <c r="AR4" s="83"/>
      <c r="AS4" s="84"/>
    </row>
    <row r="5" spans="1:45" s="12" customFormat="1" ht="15" customHeight="1" x14ac:dyDescent="0.2">
      <c r="A5" s="101"/>
      <c r="B5" s="102" t="s">
        <v>3</v>
      </c>
      <c r="C5" s="104" t="s">
        <v>4</v>
      </c>
      <c r="D5" s="92" t="s">
        <v>5</v>
      </c>
      <c r="E5" s="92" t="s">
        <v>6</v>
      </c>
      <c r="F5" s="92" t="s">
        <v>7</v>
      </c>
      <c r="I5" s="15">
        <f>Project_Start-WEEKDAY(Project_Start,1)+2+7*(Display_Week-1)</f>
        <v>46111</v>
      </c>
      <c r="J5" s="15">
        <f>I5+1</f>
        <v>46112</v>
      </c>
      <c r="K5" s="15">
        <f t="shared" ref="K5:AJ5" si="1">J5+1</f>
        <v>46113</v>
      </c>
      <c r="L5" s="15">
        <f t="shared" si="1"/>
        <v>46114</v>
      </c>
      <c r="M5" s="15">
        <f t="shared" si="1"/>
        <v>46115</v>
      </c>
      <c r="N5" s="15">
        <f t="shared" si="1"/>
        <v>46116</v>
      </c>
      <c r="O5" s="16">
        <f t="shared" si="1"/>
        <v>46117</v>
      </c>
      <c r="P5" s="17">
        <f>O5+1</f>
        <v>46118</v>
      </c>
      <c r="Q5" s="15">
        <f>P5+1</f>
        <v>46119</v>
      </c>
      <c r="R5" s="15">
        <f t="shared" si="1"/>
        <v>46120</v>
      </c>
      <c r="S5" s="15">
        <f t="shared" si="1"/>
        <v>46121</v>
      </c>
      <c r="T5" s="15">
        <f t="shared" si="1"/>
        <v>46122</v>
      </c>
      <c r="U5" s="15">
        <f t="shared" si="1"/>
        <v>46123</v>
      </c>
      <c r="V5" s="16">
        <f t="shared" si="1"/>
        <v>46124</v>
      </c>
      <c r="W5" s="17">
        <f>V5+1</f>
        <v>46125</v>
      </c>
      <c r="X5" s="15">
        <f>W5+1</f>
        <v>46126</v>
      </c>
      <c r="Y5" s="15">
        <f t="shared" si="1"/>
        <v>46127</v>
      </c>
      <c r="Z5" s="15">
        <f t="shared" si="1"/>
        <v>46128</v>
      </c>
      <c r="AA5" s="15">
        <f t="shared" si="1"/>
        <v>46129</v>
      </c>
      <c r="AB5" s="15">
        <f t="shared" si="1"/>
        <v>46130</v>
      </c>
      <c r="AC5" s="16">
        <f t="shared" si="1"/>
        <v>46131</v>
      </c>
      <c r="AD5" s="17">
        <f t="shared" si="1"/>
        <v>46132</v>
      </c>
      <c r="AE5" s="15">
        <f t="shared" si="1"/>
        <v>46133</v>
      </c>
      <c r="AF5" s="15">
        <f t="shared" si="1"/>
        <v>46134</v>
      </c>
      <c r="AG5" s="15">
        <f t="shared" si="1"/>
        <v>46135</v>
      </c>
      <c r="AH5" s="15">
        <f t="shared" si="1"/>
        <v>46136</v>
      </c>
      <c r="AI5" s="15">
        <f t="shared" si="1"/>
        <v>46137</v>
      </c>
      <c r="AJ5" s="16">
        <f t="shared" si="1"/>
        <v>46138</v>
      </c>
      <c r="AL5" s="74"/>
      <c r="AS5" s="85"/>
    </row>
    <row r="6" spans="1:45" s="12" customFormat="1" ht="15" customHeight="1" thickBot="1" x14ac:dyDescent="0.25">
      <c r="A6" s="101"/>
      <c r="B6" s="103"/>
      <c r="C6" s="93"/>
      <c r="D6" s="93"/>
      <c r="E6" s="93"/>
      <c r="F6" s="93"/>
      <c r="I6" s="18" t="str">
        <f t="shared" ref="I6:AJ6" si="2">LEFT(TEXT(I5,"ddd"),1)</f>
        <v>M</v>
      </c>
      <c r="J6" s="19" t="str">
        <f t="shared" si="2"/>
        <v>T</v>
      </c>
      <c r="K6" s="19" t="str">
        <f t="shared" si="2"/>
        <v>W</v>
      </c>
      <c r="L6" s="19" t="str">
        <f t="shared" si="2"/>
        <v>T</v>
      </c>
      <c r="M6" s="19" t="str">
        <f t="shared" si="2"/>
        <v>F</v>
      </c>
      <c r="N6" s="19" t="str">
        <f t="shared" si="2"/>
        <v>S</v>
      </c>
      <c r="O6" s="19" t="str">
        <f t="shared" si="2"/>
        <v>S</v>
      </c>
      <c r="P6" s="19" t="str">
        <f t="shared" si="2"/>
        <v>M</v>
      </c>
      <c r="Q6" s="19" t="str">
        <f t="shared" si="2"/>
        <v>T</v>
      </c>
      <c r="R6" s="19" t="str">
        <f t="shared" si="2"/>
        <v>W</v>
      </c>
      <c r="S6" s="19" t="str">
        <f t="shared" si="2"/>
        <v>T</v>
      </c>
      <c r="T6" s="19" t="str">
        <f t="shared" si="2"/>
        <v>F</v>
      </c>
      <c r="U6" s="19" t="str">
        <f t="shared" si="2"/>
        <v>S</v>
      </c>
      <c r="V6" s="19" t="str">
        <f t="shared" si="2"/>
        <v>S</v>
      </c>
      <c r="W6" s="19" t="str">
        <f t="shared" si="2"/>
        <v>M</v>
      </c>
      <c r="X6" s="19" t="str">
        <f t="shared" si="2"/>
        <v>T</v>
      </c>
      <c r="Y6" s="19" t="str">
        <f t="shared" si="2"/>
        <v>W</v>
      </c>
      <c r="Z6" s="19" t="str">
        <f t="shared" si="2"/>
        <v>T</v>
      </c>
      <c r="AA6" s="19" t="str">
        <f t="shared" si="2"/>
        <v>F</v>
      </c>
      <c r="AB6" s="19" t="str">
        <f t="shared" si="2"/>
        <v>S</v>
      </c>
      <c r="AC6" s="19" t="str">
        <f t="shared" si="2"/>
        <v>S</v>
      </c>
      <c r="AD6" s="19" t="str">
        <f t="shared" si="2"/>
        <v>M</v>
      </c>
      <c r="AE6" s="19" t="str">
        <f t="shared" si="2"/>
        <v>T</v>
      </c>
      <c r="AF6" s="19" t="str">
        <f t="shared" si="2"/>
        <v>W</v>
      </c>
      <c r="AG6" s="19" t="str">
        <f t="shared" si="2"/>
        <v>T</v>
      </c>
      <c r="AH6" s="19" t="str">
        <f t="shared" si="2"/>
        <v>F</v>
      </c>
      <c r="AI6" s="19" t="str">
        <f t="shared" si="2"/>
        <v>S</v>
      </c>
      <c r="AJ6" s="19" t="str">
        <f t="shared" si="2"/>
        <v>S</v>
      </c>
      <c r="AL6" s="74"/>
      <c r="AS6" s="85"/>
    </row>
    <row r="7" spans="1:45" s="12" customFormat="1" ht="30" hidden="1" customHeight="1" thickBot="1" x14ac:dyDescent="0.25">
      <c r="A7" s="4" t="s">
        <v>8</v>
      </c>
      <c r="B7" s="20"/>
      <c r="C7" s="21"/>
      <c r="D7" s="20"/>
      <c r="E7" s="20"/>
      <c r="F7" s="20"/>
      <c r="H7" s="12"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L7" s="74"/>
      <c r="AN7" s="74"/>
      <c r="AP7" s="74"/>
      <c r="AR7" s="74"/>
      <c r="AS7" s="85"/>
    </row>
    <row r="8" spans="1:45" s="29" customFormat="1" ht="16.5" thickBot="1" x14ac:dyDescent="0.25">
      <c r="A8" s="5"/>
      <c r="B8" s="23" t="s">
        <v>9</v>
      </c>
      <c r="C8" s="24"/>
      <c r="D8" s="25"/>
      <c r="E8" s="26"/>
      <c r="F8" s="27"/>
      <c r="G8" s="6"/>
      <c r="H8" s="3" t="str">
        <f t="shared" ref="H8:H33" si="3">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L8" s="90" t="s">
        <v>59</v>
      </c>
      <c r="AM8" s="90"/>
      <c r="AN8" s="90" t="s">
        <v>60</v>
      </c>
      <c r="AO8" s="90"/>
      <c r="AP8" s="90" t="s">
        <v>61</v>
      </c>
      <c r="AQ8" s="90"/>
      <c r="AR8" s="90" t="s">
        <v>62</v>
      </c>
      <c r="AS8" s="90"/>
    </row>
    <row r="9" spans="1:45" s="29" customFormat="1" ht="30" customHeight="1" thickBot="1" x14ac:dyDescent="0.25">
      <c r="A9" s="5"/>
      <c r="B9" s="30" t="s">
        <v>10</v>
      </c>
      <c r="C9" s="31" t="s">
        <v>11</v>
      </c>
      <c r="D9" s="32">
        <v>1</v>
      </c>
      <c r="E9" s="33">
        <v>46125</v>
      </c>
      <c r="F9" s="33">
        <f>E9+8</f>
        <v>46133</v>
      </c>
      <c r="G9" s="6"/>
      <c r="H9" s="3">
        <f t="shared" si="3"/>
        <v>9</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L9" s="78"/>
      <c r="AM9" s="79"/>
      <c r="AN9" s="78"/>
      <c r="AO9" s="79"/>
      <c r="AP9" s="78"/>
      <c r="AQ9" s="79"/>
      <c r="AR9" s="78"/>
      <c r="AS9" s="79"/>
    </row>
    <row r="10" spans="1:45" s="29" customFormat="1" ht="30" customHeight="1" thickBot="1" x14ac:dyDescent="0.25">
      <c r="A10" s="5"/>
      <c r="B10" s="35" t="s">
        <v>12</v>
      </c>
      <c r="C10" s="36" t="s">
        <v>13</v>
      </c>
      <c r="D10" s="37">
        <v>1</v>
      </c>
      <c r="E10" s="38">
        <v>46128</v>
      </c>
      <c r="F10" s="38">
        <v>46133</v>
      </c>
      <c r="G10" s="6"/>
      <c r="H10" s="3">
        <f t="shared" si="3"/>
        <v>6</v>
      </c>
      <c r="I10" s="34"/>
      <c r="J10" s="34"/>
      <c r="K10" s="34"/>
      <c r="L10" s="34"/>
      <c r="M10" s="34"/>
      <c r="N10" s="34"/>
      <c r="O10" s="34"/>
      <c r="P10" s="34"/>
      <c r="Q10" s="34"/>
      <c r="R10" s="34"/>
      <c r="S10" s="34"/>
      <c r="T10" s="34"/>
      <c r="U10" s="39"/>
      <c r="V10" s="39"/>
      <c r="W10" s="34"/>
      <c r="X10" s="34"/>
      <c r="Y10" s="34"/>
      <c r="Z10" s="34"/>
      <c r="AA10" s="34"/>
      <c r="AB10" s="34"/>
      <c r="AC10" s="34"/>
      <c r="AD10" s="34"/>
      <c r="AE10" s="34"/>
      <c r="AF10" s="34"/>
      <c r="AG10" s="34"/>
      <c r="AH10" s="34"/>
      <c r="AI10" s="34"/>
      <c r="AJ10" s="34"/>
      <c r="AL10" s="72"/>
      <c r="AM10" s="80"/>
      <c r="AN10" s="72"/>
      <c r="AO10" s="80"/>
      <c r="AP10" s="72"/>
      <c r="AQ10" s="80"/>
      <c r="AR10" s="72"/>
      <c r="AS10" s="80"/>
    </row>
    <row r="11" spans="1:45" s="29" customFormat="1" ht="30" customHeight="1" thickBot="1" x14ac:dyDescent="0.25">
      <c r="A11" s="4"/>
      <c r="B11" s="35" t="s">
        <v>14</v>
      </c>
      <c r="C11" s="36" t="s">
        <v>15</v>
      </c>
      <c r="D11" s="37">
        <v>1</v>
      </c>
      <c r="E11" s="38">
        <v>46132</v>
      </c>
      <c r="F11" s="38">
        <v>46133</v>
      </c>
      <c r="G11" s="6"/>
      <c r="H11" s="3">
        <f t="shared" si="3"/>
        <v>2</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L11" s="72"/>
      <c r="AM11" s="80"/>
      <c r="AN11" s="72"/>
      <c r="AO11" s="80"/>
      <c r="AP11" s="72"/>
      <c r="AQ11" s="80"/>
      <c r="AR11" s="72"/>
      <c r="AS11" s="80"/>
    </row>
    <row r="12" spans="1:45" s="29" customFormat="1" ht="30" customHeight="1" thickBot="1" x14ac:dyDescent="0.25">
      <c r="A12" s="4"/>
      <c r="B12" s="35" t="s">
        <v>16</v>
      </c>
      <c r="C12" s="36" t="s">
        <v>11</v>
      </c>
      <c r="D12" s="37">
        <v>1</v>
      </c>
      <c r="E12" s="38">
        <v>46133</v>
      </c>
      <c r="F12" s="38">
        <v>46133</v>
      </c>
      <c r="G12" s="6"/>
      <c r="H12" s="3">
        <f t="shared" si="3"/>
        <v>1</v>
      </c>
      <c r="I12" s="34"/>
      <c r="J12" s="34"/>
      <c r="K12" s="34"/>
      <c r="L12" s="34"/>
      <c r="M12" s="34"/>
      <c r="N12" s="34"/>
      <c r="O12" s="34"/>
      <c r="P12" s="34"/>
      <c r="Q12" s="34"/>
      <c r="R12" s="34"/>
      <c r="S12" s="34"/>
      <c r="T12" s="34"/>
      <c r="U12" s="34"/>
      <c r="V12" s="34"/>
      <c r="W12" s="34"/>
      <c r="X12" s="34"/>
      <c r="Y12" s="39"/>
      <c r="Z12" s="34"/>
      <c r="AA12" s="34"/>
      <c r="AB12" s="34"/>
      <c r="AC12" s="34"/>
      <c r="AD12" s="34"/>
      <c r="AE12" s="34"/>
      <c r="AF12" s="34"/>
      <c r="AG12" s="34"/>
      <c r="AH12" s="34"/>
      <c r="AI12" s="34"/>
      <c r="AJ12" s="34"/>
      <c r="AL12" s="72"/>
      <c r="AM12" s="80"/>
      <c r="AN12" s="72"/>
      <c r="AO12" s="80"/>
      <c r="AP12" s="72"/>
      <c r="AQ12" s="80"/>
      <c r="AR12" s="72"/>
      <c r="AS12" s="80"/>
    </row>
    <row r="13" spans="1:45" s="29" customFormat="1" ht="30" customHeight="1" thickBot="1" x14ac:dyDescent="0.25">
      <c r="A13" s="4"/>
      <c r="B13" s="35" t="s">
        <v>17</v>
      </c>
      <c r="C13" s="36" t="s">
        <v>11</v>
      </c>
      <c r="D13" s="37">
        <v>0</v>
      </c>
      <c r="E13" s="38">
        <v>46133</v>
      </c>
      <c r="F13" s="38">
        <v>46133</v>
      </c>
      <c r="G13" s="6"/>
      <c r="H13" s="3">
        <f t="shared" si="3"/>
        <v>1</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L13" s="76"/>
      <c r="AM13" s="77"/>
      <c r="AN13" s="76"/>
      <c r="AO13" s="77"/>
      <c r="AP13" s="76"/>
      <c r="AQ13" s="77"/>
      <c r="AR13" s="76"/>
      <c r="AS13" s="77"/>
    </row>
    <row r="14" spans="1:45" s="29" customFormat="1" ht="30" customHeight="1" thickBot="1" x14ac:dyDescent="0.25">
      <c r="A14" s="5"/>
      <c r="B14" s="40" t="s">
        <v>18</v>
      </c>
      <c r="C14" s="41"/>
      <c r="D14" s="42"/>
      <c r="E14" s="43"/>
      <c r="F14" s="44"/>
      <c r="G14" s="6"/>
      <c r="H14" s="3" t="str">
        <f t="shared" si="3"/>
        <v/>
      </c>
      <c r="AL14" s="72"/>
      <c r="AM14"/>
      <c r="AN14"/>
      <c r="AO14"/>
      <c r="AP14"/>
      <c r="AQ14"/>
      <c r="AR14"/>
      <c r="AS14" s="80"/>
    </row>
    <row r="15" spans="1:45" s="29" customFormat="1" ht="30" customHeight="1" thickBot="1" x14ac:dyDescent="0.25">
      <c r="A15" s="5"/>
      <c r="B15" s="45" t="s">
        <v>19</v>
      </c>
      <c r="C15" s="46" t="s">
        <v>15</v>
      </c>
      <c r="D15" s="47">
        <v>1</v>
      </c>
      <c r="E15" s="48">
        <v>46113</v>
      </c>
      <c r="F15" s="48">
        <v>46116</v>
      </c>
      <c r="G15" s="6"/>
      <c r="H15" s="3">
        <f t="shared" si="3"/>
        <v>4</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L15" s="78"/>
      <c r="AM15" s="79"/>
      <c r="AN15" s="78"/>
      <c r="AO15" s="79"/>
      <c r="AP15" s="78"/>
      <c r="AQ15" s="79"/>
      <c r="AR15" s="78"/>
      <c r="AS15" s="79"/>
    </row>
    <row r="16" spans="1:45" s="29" customFormat="1" ht="30" customHeight="1" thickBot="1" x14ac:dyDescent="0.25">
      <c r="A16" s="4"/>
      <c r="B16" s="45" t="s">
        <v>20</v>
      </c>
      <c r="C16" s="46" t="s">
        <v>11</v>
      </c>
      <c r="D16" s="47">
        <v>1</v>
      </c>
      <c r="E16" s="48">
        <v>46114</v>
      </c>
      <c r="F16" s="48">
        <v>46115</v>
      </c>
      <c r="G16" s="6"/>
      <c r="H16" s="3">
        <f t="shared" si="3"/>
        <v>2</v>
      </c>
      <c r="I16" s="34"/>
      <c r="J16" s="34"/>
      <c r="K16" s="34"/>
      <c r="L16" s="34"/>
      <c r="M16" s="34"/>
      <c r="N16" s="34"/>
      <c r="O16" s="34"/>
      <c r="P16" s="34"/>
      <c r="Q16" s="34"/>
      <c r="R16" s="34"/>
      <c r="S16" s="34"/>
      <c r="T16" s="34"/>
      <c r="U16" s="39"/>
      <c r="V16" s="39"/>
      <c r="W16" s="34"/>
      <c r="X16" s="34"/>
      <c r="Y16" s="34"/>
      <c r="Z16" s="34"/>
      <c r="AA16" s="34"/>
      <c r="AB16" s="34"/>
      <c r="AC16" s="34"/>
      <c r="AD16" s="34"/>
      <c r="AE16" s="34"/>
      <c r="AF16" s="34"/>
      <c r="AG16" s="34"/>
      <c r="AH16" s="34"/>
      <c r="AI16" s="34"/>
      <c r="AJ16" s="39"/>
      <c r="AL16" s="72"/>
      <c r="AM16" s="80"/>
      <c r="AN16" s="72"/>
      <c r="AO16" s="80"/>
      <c r="AP16" s="72"/>
      <c r="AQ16" s="80"/>
      <c r="AR16" s="72"/>
      <c r="AS16" s="80"/>
    </row>
    <row r="17" spans="1:45" s="29" customFormat="1" ht="30" customHeight="1" thickBot="1" x14ac:dyDescent="0.25">
      <c r="A17" s="4"/>
      <c r="B17" s="45" t="s">
        <v>21</v>
      </c>
      <c r="C17" s="46" t="s">
        <v>22</v>
      </c>
      <c r="D17" s="47">
        <v>1</v>
      </c>
      <c r="E17" s="48">
        <v>46115</v>
      </c>
      <c r="F17" s="48">
        <v>46116</v>
      </c>
      <c r="G17" s="6"/>
      <c r="H17" s="3"/>
      <c r="I17" s="34"/>
      <c r="J17" s="34"/>
      <c r="K17" s="34"/>
      <c r="L17" s="34"/>
      <c r="M17" s="34"/>
      <c r="N17" s="34"/>
      <c r="O17" s="34"/>
      <c r="P17" s="34"/>
      <c r="Q17" s="34"/>
      <c r="R17" s="34"/>
      <c r="S17" s="34"/>
      <c r="T17" s="34"/>
      <c r="U17" s="39"/>
      <c r="V17" s="39"/>
      <c r="W17" s="34"/>
      <c r="X17" s="34"/>
      <c r="Y17" s="34"/>
      <c r="Z17" s="34"/>
      <c r="AA17" s="34"/>
      <c r="AB17" s="34"/>
      <c r="AC17" s="34"/>
      <c r="AD17" s="34"/>
      <c r="AE17" s="34"/>
      <c r="AF17" s="34"/>
      <c r="AG17" s="34"/>
      <c r="AH17" s="34"/>
      <c r="AI17" s="34"/>
      <c r="AJ17" s="39"/>
      <c r="AL17" s="72"/>
      <c r="AM17" s="80"/>
      <c r="AN17" s="72"/>
      <c r="AO17" s="80"/>
      <c r="AP17" s="72"/>
      <c r="AQ17" s="80"/>
      <c r="AR17" s="72"/>
      <c r="AS17" s="80"/>
    </row>
    <row r="18" spans="1:45" s="29" customFormat="1" ht="30" customHeight="1" thickBot="1" x14ac:dyDescent="0.25">
      <c r="A18" s="4"/>
      <c r="B18" s="45" t="s">
        <v>23</v>
      </c>
      <c r="C18" s="46" t="s">
        <v>24</v>
      </c>
      <c r="D18" s="47">
        <v>1</v>
      </c>
      <c r="E18" s="48">
        <v>46114</v>
      </c>
      <c r="F18" s="48">
        <v>46116</v>
      </c>
      <c r="G18" s="6"/>
      <c r="H18" s="3">
        <f t="shared" si="3"/>
        <v>3</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L18" s="72"/>
      <c r="AM18" s="80"/>
      <c r="AN18" s="72"/>
      <c r="AO18" s="80"/>
      <c r="AP18" s="72"/>
      <c r="AQ18" s="80"/>
      <c r="AR18" s="72"/>
      <c r="AS18" s="80"/>
    </row>
    <row r="19" spans="1:45" s="29" customFormat="1" ht="30" customHeight="1" thickBot="1" x14ac:dyDescent="0.25">
      <c r="A19" s="4"/>
      <c r="B19" s="45" t="s">
        <v>25</v>
      </c>
      <c r="C19" s="46" t="s">
        <v>15</v>
      </c>
      <c r="D19" s="47">
        <v>1</v>
      </c>
      <c r="E19" s="48">
        <v>46115</v>
      </c>
      <c r="F19" s="48">
        <v>46116</v>
      </c>
      <c r="G19" s="6"/>
      <c r="H19" s="3">
        <f t="shared" si="3"/>
        <v>2</v>
      </c>
      <c r="I19" s="34"/>
      <c r="J19" s="34"/>
      <c r="K19" s="34"/>
      <c r="L19" s="34"/>
      <c r="M19" s="34"/>
      <c r="N19" s="34"/>
      <c r="O19" s="34"/>
      <c r="P19" s="34"/>
      <c r="Q19" s="34"/>
      <c r="R19" s="34"/>
      <c r="S19" s="34"/>
      <c r="T19" s="34"/>
      <c r="U19" s="34"/>
      <c r="V19" s="34"/>
      <c r="W19" s="34"/>
      <c r="X19" s="34"/>
      <c r="Y19" s="39"/>
      <c r="Z19" s="34"/>
      <c r="AA19" s="34"/>
      <c r="AB19" s="34"/>
      <c r="AC19" s="34"/>
      <c r="AD19" s="34"/>
      <c r="AE19" s="34"/>
      <c r="AF19" s="34"/>
      <c r="AG19" s="34"/>
      <c r="AH19" s="34"/>
      <c r="AI19" s="34"/>
      <c r="AJ19" s="34"/>
      <c r="AL19" s="72"/>
      <c r="AM19" s="80"/>
      <c r="AN19" s="72"/>
      <c r="AO19" s="80"/>
      <c r="AP19" s="72"/>
      <c r="AQ19" s="80"/>
      <c r="AR19" s="72"/>
      <c r="AS19" s="80"/>
    </row>
    <row r="20" spans="1:45" s="29" customFormat="1" ht="30" customHeight="1" thickBot="1" x14ac:dyDescent="0.25">
      <c r="A20" s="4"/>
      <c r="B20" s="45" t="s">
        <v>26</v>
      </c>
      <c r="C20" s="46" t="s">
        <v>11</v>
      </c>
      <c r="D20" s="47">
        <v>1</v>
      </c>
      <c r="E20" s="48">
        <v>46118</v>
      </c>
      <c r="F20" s="48">
        <v>46116</v>
      </c>
      <c r="G20" s="6"/>
      <c r="H20" s="3">
        <f t="shared" si="3"/>
        <v>-1</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L20" s="76"/>
      <c r="AM20" s="77"/>
      <c r="AN20" s="76"/>
      <c r="AO20" s="77"/>
      <c r="AP20" s="76"/>
      <c r="AQ20" s="77"/>
      <c r="AR20" s="76"/>
      <c r="AS20" s="77"/>
    </row>
    <row r="21" spans="1:45" s="29" customFormat="1" ht="30" customHeight="1" thickBot="1" x14ac:dyDescent="0.25">
      <c r="A21" s="4"/>
      <c r="B21" s="49" t="s">
        <v>27</v>
      </c>
      <c r="C21" s="50"/>
      <c r="D21" s="51"/>
      <c r="E21" s="52"/>
      <c r="F21" s="53"/>
      <c r="G21" s="6"/>
      <c r="H21" s="3" t="str">
        <f t="shared" si="3"/>
        <v/>
      </c>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L21" s="72"/>
      <c r="AM21"/>
      <c r="AN21"/>
      <c r="AO21"/>
      <c r="AP21"/>
      <c r="AQ21"/>
      <c r="AR21"/>
      <c r="AS21" s="80"/>
    </row>
    <row r="22" spans="1:45" s="29" customFormat="1" ht="30" customHeight="1" thickBot="1" x14ac:dyDescent="0.25">
      <c r="A22" s="4"/>
      <c r="B22" s="55" t="s">
        <v>19</v>
      </c>
      <c r="C22" s="56" t="s">
        <v>15</v>
      </c>
      <c r="D22" s="57">
        <v>1</v>
      </c>
      <c r="E22" s="58">
        <v>46113</v>
      </c>
      <c r="F22" s="58">
        <v>46122</v>
      </c>
      <c r="G22" s="6"/>
      <c r="H22" s="3">
        <f t="shared" si="3"/>
        <v>10</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L22" s="78"/>
      <c r="AM22" s="79"/>
      <c r="AN22" s="78"/>
      <c r="AO22" s="79"/>
      <c r="AP22" s="78"/>
      <c r="AQ22" s="79"/>
      <c r="AR22" s="78"/>
      <c r="AS22" s="79"/>
    </row>
    <row r="23" spans="1:45" s="29" customFormat="1" ht="30" customHeight="1" thickBot="1" x14ac:dyDescent="0.25">
      <c r="A23" s="4"/>
      <c r="B23" s="55" t="s">
        <v>28</v>
      </c>
      <c r="C23" s="56" t="s">
        <v>29</v>
      </c>
      <c r="D23" s="57">
        <v>1</v>
      </c>
      <c r="E23" s="58">
        <v>46118</v>
      </c>
      <c r="F23" s="58">
        <v>46122</v>
      </c>
      <c r="G23" s="6"/>
      <c r="H23" s="3">
        <f t="shared" si="3"/>
        <v>5</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L23" s="72"/>
      <c r="AM23" s="80"/>
      <c r="AN23" s="72"/>
      <c r="AO23" s="80"/>
      <c r="AP23" s="72"/>
      <c r="AQ23" s="80"/>
      <c r="AR23" s="72"/>
      <c r="AS23" s="80"/>
    </row>
    <row r="24" spans="1:45" s="29" customFormat="1" ht="30" customHeight="1" thickBot="1" x14ac:dyDescent="0.25">
      <c r="A24" s="4"/>
      <c r="B24" s="55" t="s">
        <v>25</v>
      </c>
      <c r="C24" s="56" t="s">
        <v>15</v>
      </c>
      <c r="D24" s="57">
        <v>1</v>
      </c>
      <c r="E24" s="58">
        <v>46120</v>
      </c>
      <c r="F24" s="58">
        <v>46122</v>
      </c>
      <c r="G24" s="6"/>
      <c r="H24" s="3">
        <f t="shared" si="3"/>
        <v>3</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L24" s="72"/>
      <c r="AM24" s="80"/>
      <c r="AN24" s="72"/>
      <c r="AO24" s="80"/>
      <c r="AP24" s="72"/>
      <c r="AQ24" s="80"/>
      <c r="AR24" s="72"/>
      <c r="AS24" s="80"/>
    </row>
    <row r="25" spans="1:45" s="29" customFormat="1" ht="30" customHeight="1" thickBot="1" x14ac:dyDescent="0.25">
      <c r="A25" s="4"/>
      <c r="B25" s="55" t="s">
        <v>30</v>
      </c>
      <c r="C25" s="56" t="s">
        <v>11</v>
      </c>
      <c r="D25" s="57">
        <v>1</v>
      </c>
      <c r="E25" s="58">
        <v>46122</v>
      </c>
      <c r="F25" s="58">
        <v>46133</v>
      </c>
      <c r="G25" s="6"/>
      <c r="H25" s="3">
        <f t="shared" si="3"/>
        <v>12</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L25" s="76"/>
      <c r="AM25" s="77"/>
      <c r="AN25" s="76"/>
      <c r="AO25" s="77"/>
      <c r="AP25" s="76"/>
      <c r="AQ25" s="77"/>
      <c r="AR25" s="76"/>
      <c r="AS25" s="77"/>
    </row>
    <row r="26" spans="1:45" s="29" customFormat="1" ht="30" customHeight="1" thickBot="1" x14ac:dyDescent="0.25">
      <c r="A26" s="4"/>
      <c r="B26" s="59" t="s">
        <v>31</v>
      </c>
      <c r="C26" s="60"/>
      <c r="D26" s="61"/>
      <c r="E26" s="62"/>
      <c r="F26" s="63"/>
      <c r="G26" s="6"/>
      <c r="H26" s="3" t="str">
        <f t="shared" si="3"/>
        <v/>
      </c>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L26" s="72"/>
      <c r="AM26"/>
      <c r="AN26"/>
      <c r="AO26"/>
      <c r="AP26"/>
      <c r="AQ26"/>
      <c r="AR26"/>
      <c r="AS26" s="80"/>
    </row>
    <row r="27" spans="1:45" s="29" customFormat="1" ht="30" customHeight="1" thickBot="1" x14ac:dyDescent="0.25">
      <c r="A27" s="4"/>
      <c r="B27" s="65" t="s">
        <v>32</v>
      </c>
      <c r="C27" s="66" t="s">
        <v>11</v>
      </c>
      <c r="D27" s="67">
        <v>1</v>
      </c>
      <c r="E27" s="68">
        <v>46122</v>
      </c>
      <c r="F27" s="68">
        <f>E27+3</f>
        <v>46125</v>
      </c>
      <c r="G27" s="6"/>
      <c r="H27" s="3">
        <f t="shared" si="3"/>
        <v>4</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L27" s="78"/>
      <c r="AM27" s="79"/>
      <c r="AN27" s="78"/>
      <c r="AO27" s="79"/>
      <c r="AP27" s="78"/>
      <c r="AQ27" s="79"/>
      <c r="AR27" s="78"/>
      <c r="AS27" s="79"/>
    </row>
    <row r="28" spans="1:45" s="29" customFormat="1" ht="30" customHeight="1" thickBot="1" x14ac:dyDescent="0.25">
      <c r="A28" s="4"/>
      <c r="B28" s="65" t="s">
        <v>33</v>
      </c>
      <c r="C28" s="66" t="s">
        <v>13</v>
      </c>
      <c r="D28" s="67">
        <v>1</v>
      </c>
      <c r="E28" s="68">
        <f>F27</f>
        <v>46125</v>
      </c>
      <c r="F28" s="68">
        <f>E28+3</f>
        <v>46128</v>
      </c>
      <c r="G28" s="6"/>
      <c r="H28" s="3">
        <f t="shared" si="3"/>
        <v>4</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L28" s="72"/>
      <c r="AM28" s="80"/>
      <c r="AN28" s="72"/>
      <c r="AO28" s="80"/>
      <c r="AP28" s="72"/>
      <c r="AQ28" s="80"/>
      <c r="AR28" s="72"/>
      <c r="AS28" s="80"/>
    </row>
    <row r="29" spans="1:45" s="29" customFormat="1" ht="30" customHeight="1" thickBot="1" x14ac:dyDescent="0.25">
      <c r="A29" s="4"/>
      <c r="B29" s="65" t="s">
        <v>34</v>
      </c>
      <c r="C29" s="66" t="s">
        <v>29</v>
      </c>
      <c r="D29" s="67">
        <v>1</v>
      </c>
      <c r="E29" s="68">
        <f>F28</f>
        <v>46128</v>
      </c>
      <c r="F29" s="68">
        <f>E29+3</f>
        <v>46131</v>
      </c>
      <c r="G29" s="6"/>
      <c r="H29" s="3">
        <f t="shared" si="3"/>
        <v>4</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L29" s="72"/>
      <c r="AM29" s="80"/>
      <c r="AN29" s="72"/>
      <c r="AO29" s="80"/>
      <c r="AP29" s="72"/>
      <c r="AQ29" s="80"/>
      <c r="AR29" s="72"/>
      <c r="AS29" s="80"/>
    </row>
    <row r="30" spans="1:45" s="29" customFormat="1" ht="30" customHeight="1" thickBot="1" x14ac:dyDescent="0.25">
      <c r="A30" s="4"/>
      <c r="B30" s="65" t="s">
        <v>35</v>
      </c>
      <c r="C30" s="66" t="s">
        <v>11</v>
      </c>
      <c r="D30" s="67">
        <v>1</v>
      </c>
      <c r="E30" s="68">
        <f>F29</f>
        <v>46131</v>
      </c>
      <c r="F30" s="68">
        <f>E30+1</f>
        <v>46132</v>
      </c>
      <c r="G30" s="6"/>
      <c r="H30" s="3">
        <f t="shared" si="3"/>
        <v>2</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L30" s="72"/>
      <c r="AM30" s="80"/>
      <c r="AN30" s="72"/>
      <c r="AO30" s="80"/>
      <c r="AP30" s="72"/>
      <c r="AQ30" s="80"/>
      <c r="AR30" s="72"/>
      <c r="AS30" s="80"/>
    </row>
    <row r="31" spans="1:45" s="29" customFormat="1" ht="30" customHeight="1" thickBot="1" x14ac:dyDescent="0.25">
      <c r="A31" s="4"/>
      <c r="B31" s="65" t="s">
        <v>36</v>
      </c>
      <c r="C31" s="66" t="s">
        <v>15</v>
      </c>
      <c r="D31" s="67">
        <v>1</v>
      </c>
      <c r="E31" s="68">
        <v>46122</v>
      </c>
      <c r="F31" s="68">
        <v>46133</v>
      </c>
      <c r="G31" s="6"/>
      <c r="H31" s="3">
        <f t="shared" si="3"/>
        <v>12</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L31" s="76"/>
      <c r="AM31" s="77"/>
      <c r="AN31" s="76"/>
      <c r="AO31" s="77"/>
      <c r="AP31" s="76"/>
      <c r="AQ31" s="77"/>
      <c r="AR31" s="76"/>
      <c r="AS31" s="77"/>
    </row>
    <row r="32" spans="1:45" s="29" customFormat="1" ht="30" customHeight="1" thickBot="1" x14ac:dyDescent="0.25">
      <c r="A32" s="4"/>
      <c r="B32" s="23" t="s">
        <v>37</v>
      </c>
      <c r="C32" s="24"/>
      <c r="D32" s="25"/>
      <c r="E32" s="26"/>
      <c r="F32" s="27"/>
      <c r="G32" s="6"/>
      <c r="H32" s="3" t="str">
        <f t="shared" si="3"/>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L32" s="72"/>
      <c r="AM32"/>
      <c r="AN32"/>
      <c r="AO32"/>
      <c r="AP32"/>
      <c r="AQ32"/>
      <c r="AR32"/>
      <c r="AS32" s="80"/>
    </row>
    <row r="33" spans="1:45" s="29" customFormat="1" ht="30" customHeight="1" thickBot="1" x14ac:dyDescent="0.25">
      <c r="A33" s="5"/>
      <c r="B33" s="30" t="s">
        <v>38</v>
      </c>
      <c r="C33" s="31" t="s">
        <v>13</v>
      </c>
      <c r="D33" s="32">
        <v>1</v>
      </c>
      <c r="E33" s="33">
        <v>46113</v>
      </c>
      <c r="F33" s="33">
        <f>E33+2</f>
        <v>46115</v>
      </c>
      <c r="G33" s="6"/>
      <c r="H33" s="3">
        <f t="shared" si="3"/>
        <v>3</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L33" s="78"/>
      <c r="AM33" s="79"/>
      <c r="AN33" s="78"/>
      <c r="AO33" s="79"/>
      <c r="AP33" s="78"/>
      <c r="AQ33" s="79"/>
      <c r="AR33" s="78"/>
      <c r="AS33" s="79"/>
    </row>
    <row r="34" spans="1:45" ht="30" customHeight="1" thickBot="1" x14ac:dyDescent="0.25">
      <c r="B34" s="35" t="s">
        <v>39</v>
      </c>
      <c r="C34" s="36" t="s">
        <v>11</v>
      </c>
      <c r="D34" s="37">
        <v>1</v>
      </c>
      <c r="E34" s="38">
        <f>F33</f>
        <v>46115</v>
      </c>
      <c r="F34" s="38">
        <f>E34+7</f>
        <v>46122</v>
      </c>
      <c r="G34" s="6"/>
      <c r="H34" s="3"/>
      <c r="I34" s="34"/>
      <c r="J34" s="34"/>
      <c r="K34" s="34"/>
      <c r="L34" s="34"/>
      <c r="M34" s="34"/>
      <c r="N34" s="34"/>
      <c r="O34" s="34"/>
      <c r="P34" s="34"/>
      <c r="Q34" s="34"/>
      <c r="R34" s="34"/>
      <c r="S34" s="34"/>
      <c r="T34" s="34"/>
      <c r="U34" s="39"/>
      <c r="V34" s="39"/>
      <c r="W34" s="34"/>
      <c r="X34" s="34"/>
      <c r="Y34" s="34"/>
      <c r="Z34" s="34"/>
      <c r="AA34" s="34"/>
      <c r="AB34" s="34"/>
      <c r="AC34" s="34"/>
      <c r="AD34" s="34"/>
      <c r="AE34" s="34"/>
      <c r="AF34" s="34"/>
      <c r="AG34" s="34"/>
      <c r="AH34" s="34"/>
      <c r="AI34" s="34"/>
      <c r="AJ34" s="34"/>
      <c r="AL34" s="72"/>
      <c r="AM34" s="80"/>
      <c r="AN34" s="72"/>
      <c r="AO34" s="80"/>
      <c r="AP34" s="72"/>
      <c r="AQ34" s="80"/>
      <c r="AR34" s="72"/>
      <c r="AS34" s="80"/>
    </row>
    <row r="35" spans="1:45" ht="30" customHeight="1" thickBot="1" x14ac:dyDescent="0.25">
      <c r="B35" s="35" t="s">
        <v>40</v>
      </c>
      <c r="C35" s="36" t="s">
        <v>29</v>
      </c>
      <c r="D35" s="37">
        <v>1</v>
      </c>
      <c r="E35" s="38">
        <v>46122</v>
      </c>
      <c r="F35" s="38">
        <v>46129</v>
      </c>
      <c r="G35" s="6"/>
      <c r="H35" s="3"/>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L35" s="72"/>
      <c r="AM35" s="80"/>
      <c r="AN35" s="72"/>
      <c r="AO35" s="80"/>
      <c r="AP35" s="72"/>
      <c r="AQ35" s="80"/>
      <c r="AR35" s="72"/>
      <c r="AS35" s="80"/>
    </row>
    <row r="36" spans="1:45" ht="30" customHeight="1" thickBot="1" x14ac:dyDescent="0.25">
      <c r="B36" s="35" t="s">
        <v>41</v>
      </c>
      <c r="C36" s="36" t="s">
        <v>11</v>
      </c>
      <c r="D36" s="37">
        <v>1</v>
      </c>
      <c r="E36" s="38">
        <v>46130</v>
      </c>
      <c r="F36" s="38">
        <v>46133</v>
      </c>
      <c r="G36" s="6"/>
      <c r="H36" s="3"/>
      <c r="I36" s="34"/>
      <c r="J36" s="34"/>
      <c r="K36" s="34"/>
      <c r="L36" s="34"/>
      <c r="M36" s="34"/>
      <c r="N36" s="34"/>
      <c r="O36" s="34"/>
      <c r="P36" s="34"/>
      <c r="Q36" s="34"/>
      <c r="R36" s="34"/>
      <c r="S36" s="34"/>
      <c r="T36" s="34"/>
      <c r="U36" s="34"/>
      <c r="V36" s="34"/>
      <c r="W36" s="34"/>
      <c r="X36" s="34"/>
      <c r="Y36" s="39"/>
      <c r="Z36" s="34"/>
      <c r="AA36" s="34"/>
      <c r="AB36" s="34"/>
      <c r="AC36" s="34"/>
      <c r="AD36" s="34"/>
      <c r="AE36" s="34"/>
      <c r="AF36" s="34"/>
      <c r="AG36" s="34"/>
      <c r="AH36" s="34"/>
      <c r="AI36" s="34"/>
      <c r="AJ36" s="34"/>
      <c r="AL36" s="72"/>
      <c r="AM36" s="80"/>
      <c r="AN36" s="72"/>
      <c r="AO36" s="80"/>
      <c r="AP36" s="72"/>
      <c r="AQ36" s="80"/>
      <c r="AR36" s="72"/>
      <c r="AS36" s="80"/>
    </row>
    <row r="37" spans="1:45" ht="30" customHeight="1" thickBot="1" x14ac:dyDescent="0.25">
      <c r="B37" s="35" t="s">
        <v>42</v>
      </c>
      <c r="C37" s="36" t="s">
        <v>15</v>
      </c>
      <c r="D37" s="37">
        <v>1</v>
      </c>
      <c r="E37" s="38">
        <v>46132</v>
      </c>
      <c r="F37" s="38">
        <v>46133</v>
      </c>
      <c r="G37" s="6"/>
      <c r="H37" s="3"/>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L37" s="76"/>
      <c r="AM37" s="77"/>
      <c r="AN37" s="76"/>
      <c r="AO37" s="77"/>
      <c r="AP37" s="76"/>
      <c r="AQ37" s="77"/>
      <c r="AR37" s="76"/>
      <c r="AS37" s="77"/>
    </row>
    <row r="38" spans="1:45" ht="30" customHeight="1" thickBot="1" x14ac:dyDescent="0.25">
      <c r="B38" s="40" t="s">
        <v>43</v>
      </c>
      <c r="C38" s="41"/>
      <c r="D38" s="42"/>
      <c r="E38" s="43"/>
      <c r="F38" s="44"/>
      <c r="G38" s="6"/>
      <c r="H38" s="3" t="str">
        <f t="shared" ref="H38:H39" si="4">IF(OR(ISBLANK(task_start),ISBLANK(task_end)),"",task_end-task_start+1)</f>
        <v/>
      </c>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L38" s="72"/>
      <c r="AS38" s="80"/>
    </row>
    <row r="39" spans="1:45" ht="30" customHeight="1" thickBot="1" x14ac:dyDescent="0.25">
      <c r="B39" s="45" t="s">
        <v>38</v>
      </c>
      <c r="C39" s="46" t="s">
        <v>13</v>
      </c>
      <c r="D39" s="47">
        <v>1</v>
      </c>
      <c r="E39" s="48">
        <v>46113</v>
      </c>
      <c r="F39" s="48">
        <f>F33</f>
        <v>46115</v>
      </c>
      <c r="G39" s="6"/>
      <c r="H39" s="3">
        <f t="shared" si="4"/>
        <v>3</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L39" s="78"/>
      <c r="AM39" s="79"/>
      <c r="AN39" s="78"/>
      <c r="AO39" s="79"/>
      <c r="AP39" s="78"/>
      <c r="AQ39" s="79"/>
      <c r="AR39" s="78"/>
      <c r="AS39" s="79"/>
    </row>
    <row r="40" spans="1:45" ht="30" customHeight="1" thickBot="1" x14ac:dyDescent="0.25">
      <c r="B40" s="45" t="s">
        <v>39</v>
      </c>
      <c r="C40" s="46" t="s">
        <v>11</v>
      </c>
      <c r="D40" s="47">
        <v>1</v>
      </c>
      <c r="E40" s="48">
        <f t="shared" ref="E40:F40" si="5">E34</f>
        <v>46115</v>
      </c>
      <c r="F40" s="48">
        <f t="shared" si="5"/>
        <v>46122</v>
      </c>
      <c r="G40" s="6"/>
      <c r="H40" s="3"/>
      <c r="I40" s="34"/>
      <c r="J40" s="34"/>
      <c r="K40" s="34"/>
      <c r="L40" s="34"/>
      <c r="M40" s="34"/>
      <c r="N40" s="34"/>
      <c r="O40" s="34"/>
      <c r="P40" s="34"/>
      <c r="Q40" s="34"/>
      <c r="R40" s="34"/>
      <c r="S40" s="34"/>
      <c r="T40" s="34"/>
      <c r="U40" s="39"/>
      <c r="V40" s="39"/>
      <c r="W40" s="34"/>
      <c r="X40" s="34"/>
      <c r="Y40" s="34"/>
      <c r="Z40" s="34"/>
      <c r="AA40" s="34"/>
      <c r="AB40" s="34"/>
      <c r="AC40" s="34"/>
      <c r="AD40" s="34"/>
      <c r="AE40" s="34"/>
      <c r="AF40" s="34"/>
      <c r="AG40" s="34"/>
      <c r="AH40" s="34"/>
      <c r="AI40" s="34"/>
      <c r="AJ40" s="39"/>
      <c r="AL40" s="72"/>
      <c r="AM40" s="80"/>
      <c r="AN40" s="72"/>
      <c r="AO40" s="80"/>
      <c r="AP40" s="72"/>
      <c r="AQ40" s="80"/>
      <c r="AR40" s="72"/>
      <c r="AS40" s="80"/>
    </row>
    <row r="41" spans="1:45" ht="30" customHeight="1" thickBot="1" x14ac:dyDescent="0.25">
      <c r="B41" s="45" t="s">
        <v>40</v>
      </c>
      <c r="C41" s="46" t="s">
        <v>29</v>
      </c>
      <c r="D41" s="47">
        <v>1</v>
      </c>
      <c r="E41" s="48">
        <f t="shared" ref="E41:F41" si="6">E35</f>
        <v>46122</v>
      </c>
      <c r="F41" s="48">
        <f t="shared" si="6"/>
        <v>46129</v>
      </c>
      <c r="G41" s="6"/>
      <c r="H41" s="3"/>
      <c r="I41" s="34"/>
      <c r="J41" s="34"/>
      <c r="K41" s="34"/>
      <c r="L41" s="34"/>
      <c r="M41" s="34"/>
      <c r="N41" s="34"/>
      <c r="O41" s="34"/>
      <c r="P41" s="34"/>
      <c r="Q41" s="34"/>
      <c r="R41" s="34"/>
      <c r="S41" s="34"/>
      <c r="T41" s="34"/>
      <c r="U41" s="39"/>
      <c r="V41" s="39"/>
      <c r="W41" s="34"/>
      <c r="X41" s="34"/>
      <c r="Y41" s="34"/>
      <c r="Z41" s="34"/>
      <c r="AA41" s="34"/>
      <c r="AB41" s="34"/>
      <c r="AC41" s="34"/>
      <c r="AD41" s="34"/>
      <c r="AE41" s="34"/>
      <c r="AF41" s="34"/>
      <c r="AG41" s="34"/>
      <c r="AH41" s="34"/>
      <c r="AI41" s="34"/>
      <c r="AJ41" s="39"/>
      <c r="AL41" s="72"/>
      <c r="AM41" s="80"/>
      <c r="AN41" s="72"/>
      <c r="AO41" s="80"/>
      <c r="AP41" s="72"/>
      <c r="AQ41" s="80"/>
      <c r="AR41" s="72"/>
      <c r="AS41" s="80"/>
    </row>
    <row r="42" spans="1:45" ht="30" customHeight="1" thickBot="1" x14ac:dyDescent="0.25">
      <c r="B42" s="45" t="s">
        <v>41</v>
      </c>
      <c r="C42" s="46" t="s">
        <v>11</v>
      </c>
      <c r="D42" s="47">
        <v>1</v>
      </c>
      <c r="E42" s="48">
        <f t="shared" ref="E42:F42" si="7">E36</f>
        <v>46130</v>
      </c>
      <c r="F42" s="48">
        <f t="shared" si="7"/>
        <v>46133</v>
      </c>
      <c r="G42" s="6"/>
      <c r="H42" s="3"/>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L42" s="72"/>
      <c r="AM42" s="80"/>
      <c r="AN42" s="72"/>
      <c r="AO42" s="80"/>
      <c r="AP42" s="72"/>
      <c r="AQ42" s="80"/>
      <c r="AR42" s="72"/>
      <c r="AS42" s="80"/>
    </row>
    <row r="43" spans="1:45" ht="30" customHeight="1" thickBot="1" x14ac:dyDescent="0.25">
      <c r="B43" s="45" t="s">
        <v>42</v>
      </c>
      <c r="C43" s="46" t="s">
        <v>15</v>
      </c>
      <c r="D43" s="47">
        <v>1</v>
      </c>
      <c r="E43" s="48">
        <f t="shared" ref="E43:F43" si="8">E37</f>
        <v>46132</v>
      </c>
      <c r="F43" s="48">
        <f t="shared" si="8"/>
        <v>46133</v>
      </c>
      <c r="G43" s="6"/>
      <c r="H43" s="3"/>
      <c r="I43" s="34"/>
      <c r="J43" s="34"/>
      <c r="K43" s="34"/>
      <c r="L43" s="34"/>
      <c r="M43" s="34"/>
      <c r="N43" s="34"/>
      <c r="O43" s="34"/>
      <c r="P43" s="34"/>
      <c r="Q43" s="34"/>
      <c r="R43" s="34"/>
      <c r="S43" s="34"/>
      <c r="T43" s="34"/>
      <c r="U43" s="34"/>
      <c r="V43" s="34"/>
      <c r="W43" s="34"/>
      <c r="X43" s="34"/>
      <c r="Y43" s="39"/>
      <c r="Z43" s="34"/>
      <c r="AA43" s="34"/>
      <c r="AB43" s="34"/>
      <c r="AC43" s="34"/>
      <c r="AD43" s="34"/>
      <c r="AE43" s="34"/>
      <c r="AF43" s="34"/>
      <c r="AG43" s="34"/>
      <c r="AH43" s="34"/>
      <c r="AI43" s="34"/>
      <c r="AJ43" s="34"/>
      <c r="AL43" s="76"/>
      <c r="AM43" s="77"/>
      <c r="AN43" s="76"/>
      <c r="AO43" s="77"/>
      <c r="AP43" s="76"/>
      <c r="AQ43" s="77"/>
      <c r="AR43" s="76"/>
      <c r="AS43" s="77"/>
    </row>
    <row r="44" spans="1:45" ht="30" customHeight="1" thickBot="1" x14ac:dyDescent="0.25">
      <c r="B44" s="49" t="s">
        <v>44</v>
      </c>
      <c r="C44" s="50"/>
      <c r="D44" s="51"/>
      <c r="E44" s="52"/>
      <c r="F44" s="53"/>
      <c r="G44" s="6"/>
      <c r="H44" s="3"/>
      <c r="I44" s="54"/>
      <c r="J44" s="54"/>
      <c r="K44" s="54"/>
      <c r="L44" s="54"/>
      <c r="M44" s="54"/>
      <c r="N44" s="54"/>
      <c r="O44" s="54"/>
      <c r="P44" s="54"/>
      <c r="Q44" s="54"/>
      <c r="R44" s="54"/>
      <c r="S44" s="54"/>
      <c r="T44" s="54"/>
      <c r="U44" s="54"/>
      <c r="V44" s="54"/>
      <c r="W44" s="54"/>
      <c r="X44" s="54"/>
      <c r="Y44" s="71"/>
      <c r="Z44" s="54"/>
      <c r="AA44" s="54"/>
      <c r="AB44" s="54"/>
      <c r="AC44" s="54"/>
      <c r="AD44" s="54"/>
      <c r="AE44" s="54"/>
      <c r="AF44" s="54"/>
      <c r="AG44" s="54"/>
      <c r="AH44" s="54"/>
      <c r="AI44" s="54"/>
      <c r="AJ44" s="54"/>
      <c r="AL44" s="72"/>
      <c r="AS44" s="80"/>
    </row>
    <row r="45" spans="1:45" ht="30" customHeight="1" thickBot="1" x14ac:dyDescent="0.25">
      <c r="B45" s="55" t="s">
        <v>45</v>
      </c>
      <c r="C45" s="56" t="s">
        <v>13</v>
      </c>
      <c r="D45" s="57">
        <v>1</v>
      </c>
      <c r="E45" s="58">
        <v>46113</v>
      </c>
      <c r="F45" s="58">
        <v>46121</v>
      </c>
      <c r="G45" s="6"/>
      <c r="H45" s="3"/>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L45" s="78"/>
      <c r="AM45" s="79"/>
      <c r="AN45" s="78"/>
      <c r="AO45" s="79"/>
      <c r="AP45" s="78"/>
      <c r="AQ45" s="79"/>
      <c r="AR45" s="78"/>
      <c r="AS45" s="79"/>
    </row>
    <row r="46" spans="1:45" ht="30" customHeight="1" thickBot="1" x14ac:dyDescent="0.25">
      <c r="B46" s="55" t="s">
        <v>46</v>
      </c>
      <c r="C46" s="56" t="s">
        <v>13</v>
      </c>
      <c r="D46" s="57">
        <v>1</v>
      </c>
      <c r="E46" s="58">
        <v>46113</v>
      </c>
      <c r="F46" s="58">
        <v>46121</v>
      </c>
      <c r="G46" s="6"/>
      <c r="H46" s="3"/>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L46" s="72"/>
      <c r="AM46" s="80"/>
      <c r="AN46" s="72"/>
      <c r="AO46" s="80"/>
      <c r="AP46" s="72"/>
      <c r="AQ46" s="80"/>
      <c r="AR46" s="72"/>
      <c r="AS46" s="80"/>
    </row>
    <row r="47" spans="1:45" ht="30" customHeight="1" thickBot="1" x14ac:dyDescent="0.25">
      <c r="B47" s="55" t="s">
        <v>47</v>
      </c>
      <c r="C47" s="56" t="s">
        <v>13</v>
      </c>
      <c r="D47" s="57">
        <v>1</v>
      </c>
      <c r="E47" s="58">
        <v>46113</v>
      </c>
      <c r="F47" s="58">
        <v>46121</v>
      </c>
      <c r="G47" s="6"/>
      <c r="H47" s="3"/>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L47" s="76"/>
      <c r="AM47" s="77"/>
      <c r="AN47" s="76"/>
      <c r="AO47" s="77"/>
      <c r="AP47" s="76"/>
      <c r="AQ47" s="77"/>
      <c r="AR47" s="76"/>
      <c r="AS47" s="77"/>
    </row>
    <row r="48" spans="1:45" ht="30" customHeight="1" thickBot="1" x14ac:dyDescent="0.25">
      <c r="B48" s="59" t="s">
        <v>48</v>
      </c>
      <c r="C48" s="60"/>
      <c r="D48" s="61"/>
      <c r="E48" s="62"/>
      <c r="F48" s="63"/>
      <c r="G48" s="6"/>
      <c r="H48" s="3"/>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L48" s="72"/>
      <c r="AS48" s="80"/>
    </row>
    <row r="49" spans="2:45" ht="30" customHeight="1" thickBot="1" x14ac:dyDescent="0.25">
      <c r="B49" s="65" t="s">
        <v>49</v>
      </c>
      <c r="C49" s="66" t="s">
        <v>11</v>
      </c>
      <c r="D49" s="67">
        <v>1</v>
      </c>
      <c r="E49" s="68">
        <v>46121</v>
      </c>
      <c r="F49" s="68">
        <v>46132</v>
      </c>
      <c r="G49" s="6"/>
      <c r="H49" s="3"/>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L49" s="78"/>
      <c r="AM49" s="79"/>
      <c r="AN49" s="78"/>
      <c r="AO49" s="79"/>
      <c r="AP49" s="78"/>
      <c r="AQ49" s="79"/>
      <c r="AR49" s="78"/>
      <c r="AS49" s="79"/>
    </row>
    <row r="50" spans="2:45" ht="30" customHeight="1" thickBot="1" x14ac:dyDescent="0.25">
      <c r="B50" s="65" t="s">
        <v>56</v>
      </c>
      <c r="C50" s="66" t="s">
        <v>11</v>
      </c>
      <c r="D50" s="67">
        <v>1</v>
      </c>
      <c r="E50" s="68">
        <v>46121</v>
      </c>
      <c r="F50" s="68">
        <v>46132</v>
      </c>
      <c r="G50" s="6"/>
      <c r="H50" s="3"/>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L50" s="76"/>
      <c r="AM50" s="77"/>
      <c r="AN50" s="76"/>
      <c r="AO50" s="77"/>
      <c r="AP50" s="76"/>
      <c r="AQ50" s="77"/>
      <c r="AR50" s="76"/>
      <c r="AS50" s="77"/>
    </row>
    <row r="51" spans="2:45" ht="30" customHeight="1" thickBot="1" x14ac:dyDescent="0.25">
      <c r="B51" s="23" t="s">
        <v>50</v>
      </c>
      <c r="C51" s="24"/>
      <c r="D51" s="25"/>
      <c r="E51" s="26"/>
      <c r="F51" s="27"/>
      <c r="G51" s="6"/>
      <c r="H51" s="3"/>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L51" s="72"/>
      <c r="AS51" s="80"/>
    </row>
    <row r="52" spans="2:45" ht="30" customHeight="1" thickBot="1" x14ac:dyDescent="0.25">
      <c r="B52" s="30" t="s">
        <v>51</v>
      </c>
      <c r="C52" s="31" t="s">
        <v>29</v>
      </c>
      <c r="D52" s="32">
        <v>1</v>
      </c>
      <c r="E52" s="33">
        <v>46121</v>
      </c>
      <c r="F52" s="33">
        <v>46132</v>
      </c>
      <c r="G52" s="6"/>
      <c r="H52" s="3"/>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L52" s="78"/>
      <c r="AM52" s="79"/>
      <c r="AN52" s="78"/>
      <c r="AO52" s="79"/>
      <c r="AP52" s="78"/>
      <c r="AQ52" s="79"/>
      <c r="AR52" s="78"/>
      <c r="AS52" s="79"/>
    </row>
    <row r="53" spans="2:45" ht="30" customHeight="1" thickBot="1" x14ac:dyDescent="0.25">
      <c r="B53" s="35" t="s">
        <v>52</v>
      </c>
      <c r="C53" s="36" t="s">
        <v>29</v>
      </c>
      <c r="D53" s="37">
        <v>1</v>
      </c>
      <c r="E53" s="38">
        <v>46121</v>
      </c>
      <c r="F53" s="38">
        <v>46132</v>
      </c>
      <c r="G53" s="6"/>
      <c r="H53" s="3"/>
      <c r="I53" s="34"/>
      <c r="J53" s="34"/>
      <c r="K53" s="34"/>
      <c r="L53" s="34"/>
      <c r="M53" s="34"/>
      <c r="N53" s="34"/>
      <c r="O53" s="34"/>
      <c r="P53" s="34"/>
      <c r="Q53" s="34"/>
      <c r="R53" s="34"/>
      <c r="S53" s="34"/>
      <c r="T53" s="34"/>
      <c r="U53" s="39"/>
      <c r="V53" s="39"/>
      <c r="W53" s="34"/>
      <c r="X53" s="34"/>
      <c r="Y53" s="34"/>
      <c r="Z53" s="34"/>
      <c r="AA53" s="34"/>
      <c r="AB53" s="34"/>
      <c r="AC53" s="34"/>
      <c r="AD53" s="34"/>
      <c r="AE53" s="34"/>
      <c r="AF53" s="34"/>
      <c r="AG53" s="34"/>
      <c r="AH53" s="34"/>
      <c r="AI53" s="34"/>
      <c r="AJ53" s="34"/>
      <c r="AL53" s="76"/>
      <c r="AM53" s="77"/>
      <c r="AN53" s="76"/>
      <c r="AO53" s="77"/>
      <c r="AP53" s="76"/>
      <c r="AQ53" s="77"/>
      <c r="AR53" s="76"/>
      <c r="AS53" s="77"/>
    </row>
    <row r="54" spans="2:45" ht="30" customHeight="1" thickBot="1" x14ac:dyDescent="0.25">
      <c r="B54" s="40" t="s">
        <v>53</v>
      </c>
      <c r="C54" s="41"/>
      <c r="D54" s="42"/>
      <c r="E54" s="43"/>
      <c r="F54" s="44"/>
      <c r="G54" s="6"/>
      <c r="H54" s="3" t="str">
        <f t="shared" ref="H54:H55" si="9">IF(OR(ISBLANK(task_start),ISBLANK(task_end)),"",task_end-task_start+1)</f>
        <v/>
      </c>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L54" s="72"/>
      <c r="AS54" s="80"/>
    </row>
    <row r="55" spans="2:45" ht="30" customHeight="1" thickBot="1" x14ac:dyDescent="0.25">
      <c r="B55" s="45" t="s">
        <v>54</v>
      </c>
      <c r="C55" s="46" t="s">
        <v>13</v>
      </c>
      <c r="D55" s="47">
        <v>1</v>
      </c>
      <c r="E55" s="48">
        <f>E33+2</f>
        <v>46115</v>
      </c>
      <c r="F55" s="48">
        <f>E55+3</f>
        <v>46118</v>
      </c>
      <c r="G55" s="6"/>
      <c r="H55" s="3">
        <f t="shared" si="9"/>
        <v>4</v>
      </c>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L55" s="78"/>
      <c r="AM55" s="79"/>
      <c r="AN55" s="78"/>
      <c r="AO55" s="79"/>
      <c r="AP55" s="78"/>
      <c r="AQ55" s="79"/>
      <c r="AR55" s="78"/>
      <c r="AS55" s="79"/>
    </row>
    <row r="56" spans="2:45" ht="30" customHeight="1" thickBot="1" x14ac:dyDescent="0.25">
      <c r="B56" s="45" t="s">
        <v>55</v>
      </c>
      <c r="C56" s="46" t="s">
        <v>29</v>
      </c>
      <c r="D56" s="47">
        <v>1</v>
      </c>
      <c r="E56" s="48">
        <f>F55</f>
        <v>46118</v>
      </c>
      <c r="F56" s="48">
        <f>E56+8</f>
        <v>46126</v>
      </c>
      <c r="G56" s="6"/>
      <c r="H56" s="3"/>
      <c r="I56" s="34"/>
      <c r="J56" s="34"/>
      <c r="K56" s="34"/>
      <c r="L56" s="34"/>
      <c r="M56" s="34"/>
      <c r="N56" s="34"/>
      <c r="O56" s="34"/>
      <c r="P56" s="34"/>
      <c r="Q56" s="34"/>
      <c r="R56" s="34"/>
      <c r="S56" s="34"/>
      <c r="T56" s="34"/>
      <c r="U56" s="39"/>
      <c r="V56" s="39"/>
      <c r="W56" s="34"/>
      <c r="X56" s="34"/>
      <c r="Y56" s="34"/>
      <c r="Z56" s="34"/>
      <c r="AA56" s="34"/>
      <c r="AB56" s="34"/>
      <c r="AC56" s="34"/>
      <c r="AD56" s="34"/>
      <c r="AE56" s="34"/>
      <c r="AF56" s="34"/>
      <c r="AG56" s="34"/>
      <c r="AH56" s="34"/>
      <c r="AI56" s="34"/>
      <c r="AJ56" s="39"/>
      <c r="AL56" s="72"/>
      <c r="AM56" s="80"/>
      <c r="AN56" s="72"/>
      <c r="AO56" s="80"/>
      <c r="AP56" s="72"/>
      <c r="AQ56" s="80"/>
      <c r="AR56" s="72"/>
      <c r="AS56" s="80"/>
    </row>
    <row r="57" spans="2:45" ht="30" customHeight="1" thickBot="1" x14ac:dyDescent="0.25">
      <c r="B57" s="45" t="s">
        <v>25</v>
      </c>
      <c r="C57" s="46" t="s">
        <v>15</v>
      </c>
      <c r="D57" s="47">
        <v>1</v>
      </c>
      <c r="E57" s="48">
        <v>46126</v>
      </c>
      <c r="F57" s="48">
        <v>46133</v>
      </c>
      <c r="G57" s="6"/>
      <c r="H57" s="3"/>
      <c r="I57" s="34"/>
      <c r="J57" s="34"/>
      <c r="K57" s="34"/>
      <c r="L57" s="34"/>
      <c r="M57" s="34"/>
      <c r="N57" s="34"/>
      <c r="O57" s="34"/>
      <c r="P57" s="34"/>
      <c r="Q57" s="34"/>
      <c r="R57" s="34"/>
      <c r="S57" s="34"/>
      <c r="T57" s="34"/>
      <c r="U57" s="39"/>
      <c r="V57" s="39"/>
      <c r="W57" s="34"/>
      <c r="X57" s="34"/>
      <c r="Y57" s="34"/>
      <c r="Z57" s="34"/>
      <c r="AA57" s="34"/>
      <c r="AB57" s="34"/>
      <c r="AC57" s="34"/>
      <c r="AD57" s="34"/>
      <c r="AE57" s="34"/>
      <c r="AF57" s="34"/>
      <c r="AG57" s="34"/>
      <c r="AH57" s="34"/>
      <c r="AI57" s="34"/>
      <c r="AJ57" s="39"/>
      <c r="AL57" s="72"/>
      <c r="AM57" s="80"/>
      <c r="AN57" s="72"/>
      <c r="AO57" s="80"/>
      <c r="AP57" s="72"/>
      <c r="AQ57" s="80"/>
      <c r="AR57" s="72"/>
      <c r="AS57" s="80"/>
    </row>
    <row r="58" spans="2:45" ht="30" customHeight="1" thickBot="1" x14ac:dyDescent="0.25">
      <c r="B58" s="45" t="s">
        <v>17</v>
      </c>
      <c r="C58" s="46" t="s">
        <v>11</v>
      </c>
      <c r="D58" s="47">
        <v>1</v>
      </c>
      <c r="E58" s="48">
        <v>46132</v>
      </c>
      <c r="F58" s="48">
        <v>46133</v>
      </c>
      <c r="G58" s="6"/>
      <c r="H58" s="3"/>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L58" s="76"/>
      <c r="AM58" s="77"/>
      <c r="AN58" s="76"/>
      <c r="AO58" s="77"/>
      <c r="AP58" s="76"/>
      <c r="AQ58" s="77"/>
      <c r="AR58" s="76"/>
      <c r="AS58" s="77"/>
    </row>
    <row r="60" spans="2:45" ht="30" customHeight="1" x14ac:dyDescent="0.2">
      <c r="I60" s="70"/>
      <c r="J60" s="70"/>
      <c r="K60" s="70"/>
      <c r="L60" s="70"/>
      <c r="M60" s="70"/>
      <c r="N60" s="70"/>
    </row>
  </sheetData>
  <mergeCells count="21">
    <mergeCell ref="A5:A6"/>
    <mergeCell ref="B5:B6"/>
    <mergeCell ref="C5:C6"/>
    <mergeCell ref="D5:D6"/>
    <mergeCell ref="E5:E6"/>
    <mergeCell ref="AD4:AJ4"/>
    <mergeCell ref="F5:F6"/>
    <mergeCell ref="Q2:Z2"/>
    <mergeCell ref="Q1:Z1"/>
    <mergeCell ref="I1:O1"/>
    <mergeCell ref="I2:O2"/>
    <mergeCell ref="B2:F3"/>
    <mergeCell ref="I4:O4"/>
    <mergeCell ref="P4:V4"/>
    <mergeCell ref="W4:AC4"/>
    <mergeCell ref="AL1:AS1"/>
    <mergeCell ref="AN2:AQ3"/>
    <mergeCell ref="AL8:AM8"/>
    <mergeCell ref="AN8:AO8"/>
    <mergeCell ref="AP8:AQ8"/>
    <mergeCell ref="AR8:AS8"/>
  </mergeCells>
  <conditionalFormatting sqref="D7:D58">
    <cfRule type="dataBar" priority="8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G45:H47">
    <cfRule type="expression" priority="32">
      <formula>AND(L$1&gt;=$C2,L$1&lt;=$D2)</formula>
    </cfRule>
    <cfRule type="expression" priority="29">
      <formula>AND(L$1&gt;=$C2,L$1&lt;=$D2,$B2="Visualizations")</formula>
    </cfRule>
  </conditionalFormatting>
  <conditionalFormatting sqref="G48:H50">
    <cfRule type="expression" priority="31">
      <formula>AND(L$1&gt;=$C2,L$1&lt;=$D2)</formula>
    </cfRule>
  </conditionalFormatting>
  <conditionalFormatting sqref="G49:H50">
    <cfRule type="expression" priority="37">
      <formula>AND(G$1&gt;=$C2,G$1&lt;=$D2)</formula>
    </cfRule>
    <cfRule type="expression" priority="36">
      <formula>AND(L$1&gt;=$C2,L$1&lt;=$D2)</formula>
    </cfRule>
  </conditionalFormatting>
  <conditionalFormatting sqref="I8:AI58 I4:AI6">
    <cfRule type="expression" dxfId="37" priority="65">
      <formula>AND(TODAY()&gt;=I$5, TODAY()&lt;J$5)</formula>
    </cfRule>
  </conditionalFormatting>
  <conditionalFormatting sqref="I9:AI13">
    <cfRule type="expression" dxfId="36" priority="71" stopIfTrue="1">
      <formula>AND(task_end&gt;=I$5,task_start&lt;J$5)</formula>
    </cfRule>
  </conditionalFormatting>
  <conditionalFormatting sqref="I15:AI20">
    <cfRule type="expression" dxfId="35" priority="69" stopIfTrue="1">
      <formula>AND(task_end&gt;=I$5,task_start&lt;J$5)</formula>
    </cfRule>
  </conditionalFormatting>
  <conditionalFormatting sqref="I22:AI25">
    <cfRule type="expression" dxfId="34" priority="67" stopIfTrue="1">
      <formula>AND(task_end&gt;=I$5,task_start&lt;J$5)</formula>
    </cfRule>
  </conditionalFormatting>
  <conditionalFormatting sqref="I27:AI31">
    <cfRule type="expression" dxfId="33" priority="101" stopIfTrue="1">
      <formula>AND(task_end&gt;=I$5,task_start&lt;J$5)</formula>
    </cfRule>
  </conditionalFormatting>
  <conditionalFormatting sqref="I33:AI37">
    <cfRule type="expression" dxfId="32" priority="48" stopIfTrue="1">
      <formula>AND(task_end&gt;=I$5,task_start&lt;J$5)</formula>
    </cfRule>
  </conditionalFormatting>
  <conditionalFormatting sqref="I39:AI43">
    <cfRule type="expression" dxfId="31" priority="22" stopIfTrue="1">
      <formula>AND(task_end&gt;=I$5,task_start&lt;J$5)</formula>
    </cfRule>
  </conditionalFormatting>
  <conditionalFormatting sqref="I45:AI47">
    <cfRule type="expression" dxfId="30" priority="17" stopIfTrue="1">
      <formula>AND(task_end&gt;=I$5,task_start&lt;J$5)</formula>
    </cfRule>
  </conditionalFormatting>
  <conditionalFormatting sqref="I49:AI50">
    <cfRule type="expression" dxfId="29" priority="12" stopIfTrue="1">
      <formula>AND(task_end&gt;=I$5,task_start&lt;J$5)</formula>
    </cfRule>
  </conditionalFormatting>
  <conditionalFormatting sqref="I52:AI53">
    <cfRule type="expression" dxfId="28" priority="7" stopIfTrue="1">
      <formula>AND(task_end&gt;=I$5,task_start&lt;J$5)</formula>
    </cfRule>
  </conditionalFormatting>
  <conditionalFormatting sqref="I55:AI58">
    <cfRule type="expression" dxfId="27" priority="2" stopIfTrue="1">
      <formula>AND(task_end&gt;=I$5,task_start&lt;J$5)</formula>
    </cfRule>
  </conditionalFormatting>
  <conditionalFormatting sqref="I9:AJ13">
    <cfRule type="expression" dxfId="26" priority="70">
      <formula>AND(task_start&lt;=I$5,ROUNDDOWN((task_end-task_start+1)*task_progress,0)+task_start-1&gt;=I$5)</formula>
    </cfRule>
  </conditionalFormatting>
  <conditionalFormatting sqref="I15:AJ20">
    <cfRule type="expression" dxfId="25" priority="68">
      <formula>AND(task_start&lt;=I$5,ROUNDDOWN((task_end-task_start+1)*task_progress,0)+task_start-1&gt;=I$5)</formula>
    </cfRule>
  </conditionalFormatting>
  <conditionalFormatting sqref="I22:AJ25">
    <cfRule type="expression" dxfId="24" priority="66">
      <formula>AND(task_start&lt;=I$5,ROUNDDOWN((task_end-task_start+1)*task_progress,0)+task_start-1&gt;=I$5)</formula>
    </cfRule>
  </conditionalFormatting>
  <conditionalFormatting sqref="I27:AJ31">
    <cfRule type="expression" dxfId="23" priority="100">
      <formula>AND(task_start&lt;=I$5,ROUNDDOWN((task_end-task_start+1)*task_progress,0)+task_start-1&gt;=I$5)</formula>
    </cfRule>
  </conditionalFormatting>
  <conditionalFormatting sqref="I33:AJ37">
    <cfRule type="expression" dxfId="22" priority="47">
      <formula>AND(task_start&lt;=I$5,ROUNDDOWN((task_end-task_start+1)*task_progress,0)+task_start-1&gt;=I$5)</formula>
    </cfRule>
  </conditionalFormatting>
  <conditionalFormatting sqref="I39:AJ43">
    <cfRule type="expression" dxfId="21" priority="21">
      <formula>AND(task_start&lt;=I$5,ROUNDDOWN((task_end-task_start+1)*task_progress,0)+task_start-1&gt;=I$5)</formula>
    </cfRule>
  </conditionalFormatting>
  <conditionalFormatting sqref="I45:AJ47">
    <cfRule type="expression" dxfId="20" priority="16">
      <formula>AND(task_start&lt;=I$5,ROUNDDOWN((task_end-task_start+1)*task_progress,0)+task_start-1&gt;=I$5)</formula>
    </cfRule>
  </conditionalFormatting>
  <conditionalFormatting sqref="I49:AJ50">
    <cfRule type="expression" dxfId="19" priority="11">
      <formula>AND(task_start&lt;=I$5,ROUNDDOWN((task_end-task_start+1)*task_progress,0)+task_start-1&gt;=I$5)</formula>
    </cfRule>
  </conditionalFormatting>
  <conditionalFormatting sqref="I52:AJ53">
    <cfRule type="expression" dxfId="18" priority="6">
      <formula>AND(task_start&lt;=I$5,ROUNDDOWN((task_end-task_start+1)*task_progress,0)+task_start-1&gt;=I$5)</formula>
    </cfRule>
  </conditionalFormatting>
  <conditionalFormatting sqref="I55:AJ58">
    <cfRule type="expression" dxfId="17" priority="1">
      <formula>AND(task_start&lt;=I$5,ROUNDDOWN((task_end-task_start+1)*task_progress,0)+task_start-1&gt;=I$5)</formula>
    </cfRule>
  </conditionalFormatting>
  <conditionalFormatting sqref="AJ4:AJ9 AJ14 AJ21 AJ26 AJ32">
    <cfRule type="expression" dxfId="16" priority="103">
      <formula>AND(TODAY()&gt;=AJ$5, TODAY()&lt;#REF!)</formula>
    </cfRule>
  </conditionalFormatting>
  <conditionalFormatting sqref="AJ8:AJ58">
    <cfRule type="expression" dxfId="15" priority="148">
      <formula>AND(TODAY()&gt;=AJ$5, TODAY()&lt;#REF!)</formula>
    </cfRule>
  </conditionalFormatting>
  <conditionalFormatting sqref="AJ9:AJ13">
    <cfRule type="expression" dxfId="14" priority="107" stopIfTrue="1">
      <formula>AND(task_end&gt;=AJ$5,task_start&lt;#REF!)</formula>
    </cfRule>
  </conditionalFormatting>
  <conditionalFormatting sqref="AJ15:AJ20">
    <cfRule type="expression" dxfId="13" priority="138" stopIfTrue="1">
      <formula>AND(task_end&gt;=AJ$5,task_start&lt;#REF!)</formula>
    </cfRule>
  </conditionalFormatting>
  <conditionalFormatting sqref="AJ22:AJ25">
    <cfRule type="expression" dxfId="12" priority="126" stopIfTrue="1">
      <formula>AND(task_end&gt;=AJ$5,task_start&lt;#REF!)</formula>
    </cfRule>
  </conditionalFormatting>
  <conditionalFormatting sqref="AJ27:AJ31">
    <cfRule type="expression" dxfId="11" priority="146" stopIfTrue="1">
      <formula>AND(task_end&gt;=AJ$5,task_start&lt;#REF!)</formula>
    </cfRule>
  </conditionalFormatting>
  <conditionalFormatting sqref="AJ33:AJ37">
    <cfRule type="expression" dxfId="10" priority="172" stopIfTrue="1">
      <formula>AND(task_end&gt;=AJ$5,task_start&lt;#REF!)</formula>
    </cfRule>
  </conditionalFormatting>
  <conditionalFormatting sqref="AJ39:AJ43">
    <cfRule type="expression" dxfId="9" priority="25">
      <formula>AND(TODAY()&gt;=AJ$5, TODAY()&lt;#REF!)</formula>
    </cfRule>
    <cfRule type="expression" dxfId="8" priority="24" stopIfTrue="1">
      <formula>AND(task_end&gt;=AJ$5,task_start&lt;#REF!)</formula>
    </cfRule>
  </conditionalFormatting>
  <conditionalFormatting sqref="AJ45:AJ47">
    <cfRule type="expression" dxfId="7" priority="20">
      <formula>AND(TODAY()&gt;=AJ$5, TODAY()&lt;#REF!)</formula>
    </cfRule>
    <cfRule type="expression" dxfId="6" priority="19" stopIfTrue="1">
      <formula>AND(task_end&gt;=AJ$5,task_start&lt;#REF!)</formula>
    </cfRule>
  </conditionalFormatting>
  <conditionalFormatting sqref="AJ49:AJ50">
    <cfRule type="expression" dxfId="5" priority="15">
      <formula>AND(TODAY()&gt;=AJ$5, TODAY()&lt;#REF!)</formula>
    </cfRule>
    <cfRule type="expression" dxfId="4" priority="14" stopIfTrue="1">
      <formula>AND(task_end&gt;=AJ$5,task_start&lt;#REF!)</formula>
    </cfRule>
  </conditionalFormatting>
  <conditionalFormatting sqref="AJ52:AJ53">
    <cfRule type="expression" dxfId="3" priority="10" stopIfTrue="1">
      <formula>AND(task_end&gt;=AJ$5,task_start&lt;#REF!)</formula>
    </cfRule>
    <cfRule type="expression" dxfId="2" priority="8">
      <formula>AND(TODAY()&gt;=AJ$5, TODAY()&lt;#REF!)</formula>
    </cfRule>
  </conditionalFormatting>
  <conditionalFormatting sqref="AJ55:AJ58">
    <cfRule type="expression" dxfId="1" priority="5">
      <formula>AND(TODAY()&gt;=AJ$5, TODAY()&lt;#REF!)</formula>
    </cfRule>
    <cfRule type="expression" dxfId="0" priority="4" stopIfTrue="1">
      <formula>AND(task_end&gt;=AJ$5,task_start&lt;#REF!)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1" ma:contentTypeDescription="Create a new document." ma:contentTypeScope="" ma:versionID="bdc3eefcce20f052996132159226e429">
  <xsd:schema xmlns:xsd="http://www.w3.org/2001/XMLSchema" xmlns:xs="http://www.w3.org/2001/XMLSchema" xmlns:p="http://schemas.microsoft.com/office/2006/metadata/properties" xmlns:ns3="d94ee4e4-02cb-4da0-9dbe-ce518434d583" targetNamespace="http://schemas.microsoft.com/office/2006/metadata/properties" ma:root="true" ma:fieldsID="5c4b9b742bc415e6b5f4f276646a238f"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GenerationTime" minOccurs="0"/>
                <xsd:element ref="ns3:MediaServiceEventHashCode" minOccurs="0"/>
                <xsd:element ref="ns3:MediaLengthInSeconds" minOccurs="0"/>
                <xsd:element ref="ns3:MediaServiceSystemTag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d94ee4e4-02cb-4da0-9dbe-ce518434d583"/>
  </ds:schemaRefs>
</ds:datastoreItem>
</file>

<file path=customXml/itemProps3.xml><?xml version="1.0" encoding="utf-8"?>
<ds:datastoreItem xmlns:ds="http://schemas.openxmlformats.org/officeDocument/2006/customXml" ds:itemID="{D26D5C4D-B1F7-431E-9F6D-FE05EC643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Jacob Oetken</cp:lastModifiedBy>
  <cp:revision/>
  <dcterms:created xsi:type="dcterms:W3CDTF">2022-03-11T22:41:12Z</dcterms:created>
  <dcterms:modified xsi:type="dcterms:W3CDTF">2026-04-18T22:57:40Z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